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ubcca-my.sharepoint.com/personal/baxi09_student_ubc_ca/Documents/Personal Projects/IMAX Equity Research/files/"/>
    </mc:Choice>
  </mc:AlternateContent>
  <xr:revisionPtr revIDLastSave="0" documentId="8_{E614DB01-27AF-41F6-8845-A7CABBAC6C53}" xr6:coauthVersionLast="47" xr6:coauthVersionMax="47" xr10:uidLastSave="{00000000-0000-0000-0000-000000000000}"/>
  <bookViews>
    <workbookView xWindow="-98" yWindow="-98" windowWidth="21795" windowHeight="12975" tabRatio="500" xr2:uid="{00000000-000D-0000-FFFF-FFFF00000000}"/>
  </bookViews>
  <sheets>
    <sheet name="Assumptions" sheetId="1" r:id="rId1"/>
    <sheet name="Model" sheetId="2" r:id="rId2"/>
    <sheet name="DCF" sheetId="3" r:id="rId3"/>
    <sheet name="Relative Val" sheetId="4" r:id="rId4"/>
    <sheet name="Takeover" sheetId="5" r:id="rId5"/>
    <sheet name="Synthesi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1" i="6" l="1"/>
  <c r="D8" i="6"/>
  <c r="E15" i="5"/>
  <c r="D15" i="5"/>
  <c r="C7" i="6" s="1"/>
  <c r="E7" i="6" s="1"/>
  <c r="C15" i="5"/>
  <c r="C26" i="4"/>
  <c r="C8" i="4"/>
  <c r="C7" i="4"/>
  <c r="E26" i="4" s="1"/>
  <c r="C6" i="4"/>
  <c r="G31" i="3"/>
  <c r="F31" i="3"/>
  <c r="E31" i="3"/>
  <c r="D31" i="3"/>
  <c r="C31" i="3"/>
  <c r="C26" i="3"/>
  <c r="C24" i="3"/>
  <c r="C20" i="3"/>
  <c r="C18" i="3"/>
  <c r="L5" i="3"/>
  <c r="K5" i="3"/>
  <c r="J5" i="3"/>
  <c r="I5" i="3"/>
  <c r="H5" i="3"/>
  <c r="G5" i="3"/>
  <c r="F5" i="3"/>
  <c r="E5" i="3"/>
  <c r="D5" i="3"/>
  <c r="C5" i="3"/>
  <c r="L25" i="2"/>
  <c r="K25" i="2"/>
  <c r="J25" i="2"/>
  <c r="I25" i="2"/>
  <c r="H25" i="2"/>
  <c r="G25" i="2"/>
  <c r="F25" i="2"/>
  <c r="E25" i="2"/>
  <c r="D25" i="2"/>
  <c r="C25" i="2"/>
  <c r="C10" i="2"/>
  <c r="C11" i="2" s="1"/>
  <c r="C15" i="2" s="1"/>
  <c r="C20" i="2" s="1"/>
  <c r="C26" i="2" s="1"/>
  <c r="D8" i="2"/>
  <c r="C105" i="1"/>
  <c r="C5" i="1" s="1"/>
  <c r="C31" i="2" l="1"/>
  <c r="C27" i="2"/>
  <c r="B36" i="3"/>
  <c r="B32" i="3"/>
  <c r="E7" i="3"/>
  <c r="L7" i="3"/>
  <c r="D7" i="3"/>
  <c r="B33" i="3"/>
  <c r="K7" i="3"/>
  <c r="C7" i="3"/>
  <c r="H7" i="3"/>
  <c r="I7" i="3"/>
  <c r="B35" i="3"/>
  <c r="G7" i="3"/>
  <c r="F7" i="3"/>
  <c r="J7" i="3"/>
  <c r="B34" i="3"/>
  <c r="D26" i="4"/>
  <c r="D10" i="2"/>
  <c r="E8" i="2" s="1"/>
  <c r="E10" i="2" l="1"/>
  <c r="F8" i="2" s="1"/>
  <c r="E11" i="2"/>
  <c r="E15" i="2" s="1"/>
  <c r="C18" i="5"/>
  <c r="C35" i="2"/>
  <c r="C11" i="4"/>
  <c r="D11" i="2"/>
  <c r="D15" i="2" s="1"/>
  <c r="E24" i="4" l="1"/>
  <c r="C6" i="6" s="1"/>
  <c r="E6" i="6" s="1"/>
  <c r="D24" i="4"/>
  <c r="C24" i="4"/>
  <c r="C36" i="2"/>
  <c r="C6" i="3"/>
  <c r="E20" i="2"/>
  <c r="E26" i="2" s="1"/>
  <c r="E16" i="2"/>
  <c r="D16" i="2"/>
  <c r="D20" i="2"/>
  <c r="D26" i="2" s="1"/>
  <c r="C21" i="5"/>
  <c r="E21" i="5"/>
  <c r="D21" i="5"/>
  <c r="F10" i="2"/>
  <c r="G8" i="2" s="1"/>
  <c r="F11" i="2"/>
  <c r="F15" i="2" s="1"/>
  <c r="C8" i="3" l="1"/>
  <c r="F20" i="2"/>
  <c r="F26" i="2" s="1"/>
  <c r="F16" i="2"/>
  <c r="G10" i="2"/>
  <c r="H8" i="2" s="1"/>
  <c r="E31" i="2"/>
  <c r="E35" i="2" s="1"/>
  <c r="E27" i="2"/>
  <c r="D27" i="2"/>
  <c r="D31" i="2"/>
  <c r="E6" i="3" l="1"/>
  <c r="E8" i="3" s="1"/>
  <c r="E36" i="2"/>
  <c r="H10" i="2"/>
  <c r="I8" i="2" s="1"/>
  <c r="D35" i="2"/>
  <c r="C12" i="4"/>
  <c r="G11" i="2"/>
  <c r="G15" i="2" s="1"/>
  <c r="F31" i="2"/>
  <c r="F35" i="2" s="1"/>
  <c r="F27" i="2"/>
  <c r="D6" i="3" l="1"/>
  <c r="D8" i="3" s="1"/>
  <c r="D36" i="2"/>
  <c r="E25" i="4"/>
  <c r="D25" i="4"/>
  <c r="C25" i="4"/>
  <c r="G20" i="2"/>
  <c r="G26" i="2" s="1"/>
  <c r="G16" i="2"/>
  <c r="I10" i="2"/>
  <c r="J8" i="2" s="1"/>
  <c r="H11" i="2"/>
  <c r="H15" i="2" s="1"/>
  <c r="F6" i="3"/>
  <c r="F8" i="3" s="1"/>
  <c r="F36" i="2"/>
  <c r="G31" i="2" l="1"/>
  <c r="G35" i="2" s="1"/>
  <c r="G27" i="2"/>
  <c r="J10" i="2"/>
  <c r="K8" i="2" s="1"/>
  <c r="H16" i="2"/>
  <c r="H20" i="2"/>
  <c r="H26" i="2" s="1"/>
  <c r="I11" i="2"/>
  <c r="I15" i="2" s="1"/>
  <c r="I16" i="2" l="1"/>
  <c r="I20" i="2"/>
  <c r="I26" i="2" s="1"/>
  <c r="H27" i="2"/>
  <c r="H31" i="2"/>
  <c r="H35" i="2" s="1"/>
  <c r="K10" i="2"/>
  <c r="L8" i="2" s="1"/>
  <c r="J11" i="2"/>
  <c r="J15" i="2" s="1"/>
  <c r="G6" i="3"/>
  <c r="G8" i="3" s="1"/>
  <c r="G36" i="2"/>
  <c r="H36" i="2" l="1"/>
  <c r="H6" i="3"/>
  <c r="H8" i="3" s="1"/>
  <c r="J20" i="2"/>
  <c r="J26" i="2" s="1"/>
  <c r="J16" i="2"/>
  <c r="L10" i="2"/>
  <c r="L11" i="2" s="1"/>
  <c r="L15" i="2" s="1"/>
  <c r="K11" i="2"/>
  <c r="K15" i="2" s="1"/>
  <c r="I27" i="2"/>
  <c r="I31" i="2"/>
  <c r="I35" i="2" s="1"/>
  <c r="L20" i="2" l="1"/>
  <c r="L26" i="2" s="1"/>
  <c r="L16" i="2"/>
  <c r="K20" i="2"/>
  <c r="K26" i="2" s="1"/>
  <c r="K16" i="2"/>
  <c r="J31" i="2"/>
  <c r="J35" i="2" s="1"/>
  <c r="J27" i="2"/>
  <c r="I36" i="2"/>
  <c r="I6" i="3"/>
  <c r="I8" i="3" s="1"/>
  <c r="J36" i="2" l="1"/>
  <c r="J6" i="3"/>
  <c r="J8" i="3" s="1"/>
  <c r="K31" i="2"/>
  <c r="K35" i="2" s="1"/>
  <c r="K27" i="2"/>
  <c r="L31" i="2"/>
  <c r="L27" i="2"/>
  <c r="L35" i="2" l="1"/>
  <c r="C12" i="3"/>
  <c r="C13" i="3"/>
  <c r="K36" i="2"/>
  <c r="K6" i="3"/>
  <c r="K8" i="3" s="1"/>
  <c r="L6" i="3" l="1"/>
  <c r="L36" i="2"/>
  <c r="L8" i="3" l="1"/>
  <c r="C11" i="3" s="1"/>
  <c r="C14" i="3"/>
  <c r="C15" i="3" s="1"/>
  <c r="F33" i="3"/>
  <c r="D34" i="3"/>
  <c r="C34" i="3"/>
  <c r="E36" i="3"/>
  <c r="D32" i="3"/>
  <c r="C35" i="3"/>
  <c r="E33" i="3"/>
  <c r="C36" i="3"/>
  <c r="G34" i="3"/>
  <c r="D33" i="3"/>
  <c r="G35" i="3"/>
  <c r="G32" i="3"/>
  <c r="E35" i="3"/>
  <c r="D35" i="3"/>
  <c r="E34" i="3"/>
  <c r="E32" i="3"/>
  <c r="F32" i="3"/>
  <c r="F36" i="3"/>
  <c r="C32" i="3"/>
  <c r="G36" i="3"/>
  <c r="F35" i="3"/>
  <c r="C33" i="3"/>
  <c r="F34" i="3"/>
  <c r="G33" i="3"/>
  <c r="D36" i="3"/>
  <c r="C16" i="3" l="1"/>
  <c r="C29" i="3"/>
  <c r="C17" i="3"/>
  <c r="C19" i="3" s="1"/>
  <c r="C21" i="3" s="1"/>
  <c r="C27" i="3" l="1"/>
  <c r="C25" i="3"/>
  <c r="C5" i="6"/>
  <c r="C28" i="3"/>
  <c r="F18" i="6" l="1"/>
  <c r="F17" i="6"/>
  <c r="F16" i="6"/>
  <c r="E5" i="6"/>
  <c r="E9" i="6" s="1"/>
  <c r="C12" i="6" l="1"/>
  <c r="C10" i="6"/>
</calcChain>
</file>

<file path=xl/sharedStrings.xml><?xml version="1.0" encoding="utf-8"?>
<sst xmlns="http://schemas.openxmlformats.org/spreadsheetml/2006/main" count="257" uniqueCount="236">
  <si>
    <t>IMAX Corporation (NYSE: IMAX) - Valuation Assumptions</t>
  </si>
  <si>
    <t>Blue = input / lever.  Black = calculated.  All figures US$mm unless noted.</t>
  </si>
  <si>
    <t>VALUATION INPUTS</t>
  </si>
  <si>
    <t>Source / note</t>
  </si>
  <si>
    <t>Cost of equity</t>
  </si>
  <si>
    <t>Now built from CAPM below (Rf + beta x ERP), not hard-coded. ~94% equity weighting means WACC approximates cost of equity.</t>
  </si>
  <si>
    <t>Terminal growth rate</t>
  </si>
  <si>
    <t>Perpetuity growth. Below long-run nominal GDP. 2035 treated as mid-cycle, not peak.</t>
  </si>
  <si>
    <t>Diluted shares outstanding (mm)</t>
  </si>
  <si>
    <t>Q2 2026 10-Q. 54.84mm basic + dilution. No buybacks modelled - see note below.</t>
  </si>
  <si>
    <t>Non-controlling interest ($mm)</t>
  </si>
  <si>
    <t>IMAX China (HK:1970) 28.43% minority. Book $93.8mm at Jun-30-26; deducted at ~$100mm to approximate HK market value (~$95-110mm). Refresh to latest quote before publishing.</t>
  </si>
  <si>
    <t>Current share price</t>
  </si>
  <si>
    <t>Post-Q2 print, 23-Jul-2026. Stock rose ~14% on the day; 52-wk high $43.96. Prior $37.85 was pre-print (21-Jul).</t>
  </si>
  <si>
    <t>Consensus price target</t>
  </si>
  <si>
    <t>Street range $41-50: Seaport $50, Roth $48, Rosenblatt $47, Goldman $42, Wells Fargo $41 (downgraded to Equal Weight 16-Jul on valuation).</t>
  </si>
  <si>
    <t>HISTORICAL ANCHORS</t>
  </si>
  <si>
    <t>Source</t>
  </si>
  <si>
    <t>FY2025 revenue</t>
  </si>
  <si>
    <t>FY2025 10-K, Note 20 Segment Reporting.</t>
  </si>
  <si>
    <t>FY2025 Adj. EBITDA</t>
  </si>
  <si>
    <t>45.1% margin per FY2025 investor presentation.</t>
  </si>
  <si>
    <t>FY2025 free cash flow</t>
  </si>
  <si>
    <t>OCF $127.1mm less PP&amp;E $8.2mm, JRSA investment $28.4mm, intangibles $5.3mm.</t>
  </si>
  <si>
    <t>FY2025 FCF conversion</t>
  </si>
  <si>
    <t>$85.2mm / $185.0mm. The starting point for the assumed conversion ramp.</t>
  </si>
  <si>
    <t>FY2025 IMAX global box office ($bn)</t>
  </si>
  <si>
    <t>FY2025 results. 2024: $0.92bn.</t>
  </si>
  <si>
    <t>Commercial multiplex systems, Jun-2026</t>
  </si>
  <si>
    <t>Q2 2026 10-Q, IMAX Network and Backlog.</t>
  </si>
  <si>
    <t>FY2025 box office capture rate</t>
  </si>
  <si>
    <t>($142.3mm remastering + $82.2mm rentals) / $1.28bn. Studios pay ~11-12.5%; JRSA exhibitors pay ~12.5% more.</t>
  </si>
  <si>
    <t>KEY MODELLING DECISIONS (analyst estimates)</t>
  </si>
  <si>
    <t>Network target 2035</t>
  </si>
  <si>
    <t>2,500 systems</t>
  </si>
  <si>
    <t>Analyst estimate. ~70 net adds/yr; ~170 gross installs at ~100 closures/yr = in line with 160-175 guidance sustained.</t>
  </si>
  <si>
    <t>Cyclicality</t>
  </si>
  <si>
    <t>2 down years</t>
  </si>
  <si>
    <t>Analyst estimate. 2027 (-9% vs 2026 Odyssey/Dune peak) and 2032 (-4% vs 2031 local peak). Trend upward.</t>
  </si>
  <si>
    <t>Buybacks</t>
  </si>
  <si>
    <t>Not modelled</t>
  </si>
  <si>
    <t>Buybacks are value-neutral at fair value. Model DCF ~$29-42/sh vs $37.85 price implies repurchases may DESTROY value. Discuss, do not model.</t>
  </si>
  <si>
    <t>Box office capture</t>
  </si>
  <si>
    <t>18.5%, -15bp/yr</t>
  </si>
  <si>
    <t>Analyst estimate. Decay reflects network mix shifting to sales arrangements (no JRSA rent); partly offset by falling China weight.</t>
  </si>
  <si>
    <t>The Odyssey (2026)</t>
  </si>
  <si>
    <t>$1.2bn WW / 25% IMAX</t>
  </si>
  <si>
    <t>Analyst estimate. 5.25x on $264.1mm opening (Oppenheimer 5.42x). 25% capture is above prior precedent (Oppenheimer ~19.5%), supported by IMAX pricing power on a Filmed-for-IMAX title.</t>
  </si>
  <si>
    <t>Dune: Part Three (2026)</t>
  </si>
  <si>
    <t>$450mm in-year</t>
  </si>
  <si>
    <t>Analyst estimate. Bull case; ~$100mm IMAX. Opens 18-Dec-26 with IMAX-exclusive opening weekend.</t>
  </si>
  <si>
    <t>FCF conversion path</t>
  </si>
  <si>
    <t>50% -&gt; 55% by 2030</t>
  </si>
  <si>
    <t>Analyst estimate. Above the 46% realized in FY2025; rests on operating leverage on higher box office, with JRSA and lease-incentive spend still rising.</t>
  </si>
  <si>
    <t>STRUCTURAL NOTES</t>
  </si>
  <si>
    <t>Equity FCF, not unlevered</t>
  </si>
  <si>
    <t>IMAX FCF = operating cash flow less capex. OCF is already post-interest and post-tax, so this is an EQUITY cash flow. Discount at cost of equity; do NOT deduct net debt.</t>
  </si>
  <si>
    <t>No separate receivables add-back</t>
  </si>
  <si>
    <t>Balance sheet carries $330mm of receivables (36% of assets) representing already-recognised revenue. Collections appear in operating cash flow. Adding them again double-counts.</t>
  </si>
  <si>
    <t>NCI deducted at market</t>
  </si>
  <si>
    <t>IMAX consolidates 100% of IMAX China but owns 71.57%. Deducted from equity value, not from cash flows.</t>
  </si>
  <si>
    <t>Revenue != cash</t>
  </si>
  <si>
    <t>Sales arrangements book PV of future minimums AND estimated contingent box-office fees at installation. $97.5mm variable consideration receivable is revenue booked on a forecast of exhibitors' future box office.</t>
  </si>
  <si>
    <t>TERMINAL STRUCTURE (blended, per Howmet template)</t>
  </si>
  <si>
    <t>Exit multiple (EV/EBITDA on 2035E)</t>
  </si>
  <si>
    <t>Below the 14.5x comps multiple to reflect terminal-year maturity. Blue input.</t>
  </si>
  <si>
    <t>Weight - exit multiple</t>
  </si>
  <si>
    <t>Mirrors the Howmet reference (65% exit / 35% perpetuity).</t>
  </si>
  <si>
    <t>Weight - perpetuity growth</t>
  </si>
  <si>
    <t>Perpetuity uses the terminal growth rate above (2.75%).</t>
  </si>
  <si>
    <t>Terminal net debt assumption ($mm)</t>
  </si>
  <si>
    <t>Assumes excess cash returned to holders, so terminal net debt approximates current. Simplification.</t>
  </si>
  <si>
    <t>COST OF EQUITY BUILD (CAPM)</t>
  </si>
  <si>
    <t>Risk-free rate (US 10-yr Treasury)</t>
  </si>
  <si>
    <t>Market yield, 10-yr constant maturity, as at report date.</t>
  </si>
  <si>
    <t>Beta</t>
  </si>
  <si>
    <t>Reflects asset-light licensing model dampening volatility vs a pure exhibitor. Low end of 1.3-1.5 range.</t>
  </si>
  <si>
    <t>Equity risk premium</t>
  </si>
  <si>
    <t>Market-wide assumption; within the 4.5-5.5% range.</t>
  </si>
  <si>
    <t>Cost of equity (calculated)</t>
  </si>
  <si>
    <t>Rf + beta x ERP. Feeds the DCF discount rate.</t>
  </si>
  <si>
    <t>IMAX Corporation - 10-Year Operating Model</t>
  </si>
  <si>
    <t>Blue = input / lever.  Black = formula.  US$mm unless noted.</t>
  </si>
  <si>
    <t>Year</t>
  </si>
  <si>
    <t>2026E</t>
  </si>
  <si>
    <t>2027E</t>
  </si>
  <si>
    <t>2028E</t>
  </si>
  <si>
    <t>2029E</t>
  </si>
  <si>
    <t>2030E</t>
  </si>
  <si>
    <t>2031E</t>
  </si>
  <si>
    <t>2032E</t>
  </si>
  <si>
    <t>2033E</t>
  </si>
  <si>
    <t>2034E</t>
  </si>
  <si>
    <t>2035E</t>
  </si>
  <si>
    <t>Discount period</t>
  </si>
  <si>
    <t>NETWORK</t>
  </si>
  <si>
    <t>Systems, beginning of year</t>
  </si>
  <si>
    <t>Net additions</t>
  </si>
  <si>
    <t>Systems, end of year</t>
  </si>
  <si>
    <t>Average systems</t>
  </si>
  <si>
    <t>BOX OFFICE</t>
  </si>
  <si>
    <t>Box office per screen ($000)</t>
  </si>
  <si>
    <t>Global IMAX box office ($mm)</t>
  </si>
  <si>
    <t xml:space="preserve">  y/y growth</t>
  </si>
  <si>
    <t>REVENUE</t>
  </si>
  <si>
    <t>Box office capture rate</t>
  </si>
  <si>
    <t>Box-office-linked revenue</t>
  </si>
  <si>
    <t>System sales</t>
  </si>
  <si>
    <t>Maintenance</t>
  </si>
  <si>
    <t>Finance income</t>
  </si>
  <si>
    <t>All other</t>
  </si>
  <si>
    <t>Total non-box-office revenue</t>
  </si>
  <si>
    <t>Total revenue</t>
  </si>
  <si>
    <t>PROFITABILITY</t>
  </si>
  <si>
    <t>Adj. EBITDA margin</t>
  </si>
  <si>
    <t>Adj. EBITDA</t>
  </si>
  <si>
    <t>FREE CASH FLOW</t>
  </si>
  <si>
    <t>FCF conversion (% of Adj. EBITDA)</t>
  </si>
  <si>
    <t>Free cash flow (equity)</t>
  </si>
  <si>
    <t xml:space="preserve">  as % of revenue</t>
  </si>
  <si>
    <t>Down years: 2027 (-9% vs 2026 Odyssey/Dune peak) and 2032 (-4% vs 2031). Trend upward throughout.</t>
  </si>
  <si>
    <t>Per-screen box office and margins are the primary levers. Both are blue inputs - overwrite to test.</t>
  </si>
  <si>
    <t>IMAX Corporation - Discounted Cash Flow</t>
  </si>
  <si>
    <t>Equity FCF discounted at cost of equity; net debt NOT deducted from the FCF stream (OCF is already post-interest). Net debt IS subtracted only on the exit-multiple terminal line, to convert that EV-based figure to equity.</t>
  </si>
  <si>
    <t>Discount factor</t>
  </si>
  <si>
    <t>PV of free cash flow</t>
  </si>
  <si>
    <t>VALUATION</t>
  </si>
  <si>
    <t>PV of explicit forecast (2026-2035)</t>
  </si>
  <si>
    <t>Terminal EBITDA (2035E)</t>
  </si>
  <si>
    <t>Terminal value - exit multiple (equity)</t>
  </si>
  <si>
    <t>Terminal value - perpetuity (equity)</t>
  </si>
  <si>
    <t>Blended terminal value</t>
  </si>
  <si>
    <t>PV of blended terminal value</t>
  </si>
  <si>
    <t>Total equity value (consolidated)</t>
  </si>
  <si>
    <t>Less: non-controlling interest</t>
  </si>
  <si>
    <t>Equity value to IMAX shareholders</t>
  </si>
  <si>
    <t>Diluted shares (mm)</t>
  </si>
  <si>
    <t>Value per share</t>
  </si>
  <si>
    <t>CROSS-CHECK</t>
  </si>
  <si>
    <t>Blended terminal = 65% exit multiple + 35% perpetuity, per Howmet template.</t>
  </si>
  <si>
    <t>Upside / (downside) to DCF</t>
  </si>
  <si>
    <t>DCF vs consensus</t>
  </si>
  <si>
    <t>Blended terminal as % of total</t>
  </si>
  <si>
    <t>Implied blended exit multiple</t>
  </si>
  <si>
    <t>SENSITIVITY - DCF VALUE / SHARE (blended terminal)</t>
  </si>
  <si>
    <t>Cost of equity  \  Exit multiple</t>
  </si>
  <si>
    <t>Centre cell (highlighted) = base case; it reconciles to the headline DCF value above. Table is live to all inputs.</t>
  </si>
  <si>
    <t>IMAX - Relative Valuation (Trading Multiples)</t>
  </si>
  <si>
    <t>Blue = input. Applies EV/EBITDA multiples to forward EBITDA. NCI at market, net debt deducted.</t>
  </si>
  <si>
    <t>SHARED INPUTS</t>
  </si>
  <si>
    <t>Net debt ($mm)</t>
  </si>
  <si>
    <t>NCI at market ($mm)</t>
  </si>
  <si>
    <t>Current price</t>
  </si>
  <si>
    <t>EBITDA BASES ($mm)</t>
  </si>
  <si>
    <t>Note</t>
  </si>
  <si>
    <t>My 2026E Adj. EBITDA estimate</t>
  </si>
  <si>
    <t>Above consensus: 46% margin, box office ~17% above guidance</t>
  </si>
  <si>
    <t>My 2027E Adj. EBITDA estimate</t>
  </si>
  <si>
    <t>Post-peak year (-6%)</t>
  </si>
  <si>
    <t>Street consensus 2026E EBITDA</t>
  </si>
  <si>
    <t>Analyst avg ~$187-200mm. Below my estimate</t>
  </si>
  <si>
    <t>MULTIPLE REFERENCE POINTS</t>
  </si>
  <si>
    <t>EV/EBITDA</t>
  </si>
  <si>
    <t>Traditional exhibitors (AMC, Cinemark)</t>
  </si>
  <si>
    <t>6-9x</t>
  </si>
  <si>
    <t>The bear framing: values IMAX as an exhibitor</t>
  </si>
  <si>
    <t>Media-Diversified industry median</t>
  </si>
  <si>
    <t>7.4x</t>
  </si>
  <si>
    <t>GuruFocus, Jul-2026</t>
  </si>
  <si>
    <t>IMAX 10-year median</t>
  </si>
  <si>
    <t>14.5x</t>
  </si>
  <si>
    <t>GuruFocus. The bull anchor</t>
  </si>
  <si>
    <t>IMAX current forward</t>
  </si>
  <si>
    <t>~14x</t>
  </si>
  <si>
    <t>Street forward EBITDA basis</t>
  </si>
  <si>
    <t>IMAX current TTM</t>
  </si>
  <si>
    <t>19.2x</t>
  </si>
  <si>
    <t>GuruFocus, Jul-2026 (unadjusted EBITDA)</t>
  </si>
  <si>
    <t>Asset-light ent. tech / licensing</t>
  </si>
  <si>
    <t>mid-teens</t>
  </si>
  <si>
    <t>The bull framing: platform not exhibitor</t>
  </si>
  <si>
    <t>IMPLIED VALUE PER SHARE</t>
  </si>
  <si>
    <t>On my 2026E EBITDA</t>
  </si>
  <si>
    <t>On my 2027E EBITDA</t>
  </si>
  <si>
    <t>On street consensus EBITDA</t>
  </si>
  <si>
    <t>Green row = primary case (my 2026E EBITDA of ~$234M). The market ($44) sits between my EBITDA at ~12x and consensus at ~14.5x.</t>
  </si>
  <si>
    <t>Central trading-comps case used in synthesis: 14.5x on 2026E EBITDA (IMAX 10-yr median).</t>
  </si>
  <si>
    <t>IMAX - Takeover / M&amp;A Analysis</t>
  </si>
  <si>
    <t>IMAX confirmed exploring a sale (WSJ, May-2026). A DCF cannot capture a control premium. This layer does.</t>
  </si>
  <si>
    <t>CONTEXT</t>
  </si>
  <si>
    <t>- WSJ (21-May-2026): IMAX exploring sale, approached entertainment buyers. "Early stage, may not result in a deal."</t>
  </si>
  <si>
    <t>- Named buyers: Apple, Amazon, Netflix, Sony, Disney, Comcast, Sphere, private equity.</t>
  </si>
  <si>
    <t>- Benchmark M&amp;A price target: $60 (raised from $44).</t>
  </si>
  <si>
    <t>- Precedent: Kinepolis/Emagine ~$105mm (Feb-2026) - but an exhibitor deal, low multiple, weak comp.</t>
  </si>
  <si>
    <t>- Caution: IMAX ran a sale process in 2006 (Allen &amp; Co / UBS). It FAILED - no buyer met the board price.</t>
  </si>
  <si>
    <t>METHOD 1: CONTROL PREMIUM ON UNAFFECTED PRICE</t>
  </si>
  <si>
    <t>Unaffected share price</t>
  </si>
  <si>
    <t>Pre-Odyssey / around M&amp;A speculation. NOT the $44 post-run price (avoids double-count).</t>
  </si>
  <si>
    <t>Premium scenario</t>
  </si>
  <si>
    <t>Low 25%</t>
  </si>
  <si>
    <t>Base 35%</t>
  </si>
  <si>
    <t>High 45%</t>
  </si>
  <si>
    <t>Premium %</t>
  </si>
  <si>
    <t>Implied takeout price</t>
  </si>
  <si>
    <t>METHOD 2: TAKEOUT MULTIPLE CROSS-CHECK</t>
  </si>
  <si>
    <t>Applied to 2026E EBITDA ($mm)</t>
  </si>
  <si>
    <t>Takeout multiple</t>
  </si>
  <si>
    <t>Low 14x</t>
  </si>
  <si>
    <t>Base 16x</t>
  </si>
  <si>
    <t>High 18x</t>
  </si>
  <si>
    <t>Multiple</t>
  </si>
  <si>
    <t>Note: Method 2 uses my above-consensus EBITDA, so it runs high. Method 1 (premium on unaffected price) is the cleaner anchor.</t>
  </si>
  <si>
    <t>Takeover central case used in synthesis: Method 1 base (35% premium).</t>
  </si>
  <si>
    <t>IMAX - Valuation Synthesis</t>
  </si>
  <si>
    <t>Blue = weight input (must sum to 100%). Blended target vs current price.</t>
  </si>
  <si>
    <t>METHODS</t>
  </si>
  <si>
    <t>Value/sh</t>
  </si>
  <si>
    <t>Weight</t>
  </si>
  <si>
    <t>Contribution</t>
  </si>
  <si>
    <t>DCF (10-yr, standalone)</t>
  </si>
  <si>
    <t>Trading comps (14.5x 2026E)</t>
  </si>
  <si>
    <t>Takeover (35% premium, memo)</t>
  </si>
  <si>
    <t>Weight check (must = 100%)</t>
  </si>
  <si>
    <t>BLENDED PRICE TARGET</t>
  </si>
  <si>
    <t>Rounded price target</t>
  </si>
  <si>
    <t>Upside / (downside)</t>
  </si>
  <si>
    <t>PRESET WEIGHTING SCENARIOS</t>
  </si>
  <si>
    <t>DCF wt</t>
  </si>
  <si>
    <t>Comps wt</t>
  </si>
  <si>
    <t>M&amp;A wt (=0)</t>
  </si>
  <si>
    <t>Target</t>
  </si>
  <si>
    <t>DCF-heavy (60 / 40)</t>
  </si>
  <si>
    <t>Balanced (50 / 50) - base case</t>
  </si>
  <si>
    <t>Comps-heavy (40 / 60)</t>
  </si>
  <si>
    <t>Takeover is excluded from the blend (0% weight) and shown separately as optionality on the Takeover tab.</t>
  </si>
  <si>
    <t>Weighting reflects how much to trust cash-flow value vs the market multiple. Base case: 50 / 50.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</si>
</sst>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0.0%;\(0.0%\);\-"/>
    <numFmt numFmtId="165" formatCode="#,##0.0"/>
    <numFmt numFmtId="166" formatCode="\$#,##0;&quot;($&quot;#,##0\);\-"/>
    <numFmt numFmtId="167" formatCode="\$#,##0.00"/>
    <numFmt numFmtId="168" formatCode="\$#,##0.0;&quot;($&quot;#,##0.0\);\-"/>
    <numFmt numFmtId="169" formatCode="#,##0;\(#,##0\);\-"/>
    <numFmt numFmtId="170" formatCode="0.0\x"/>
    <numFmt numFmtId="171" formatCode="0.0%"/>
    <numFmt numFmtId="172" formatCode="0.00%;\(0.00%\);\-"/>
    <numFmt numFmtId="173" formatCode="0.000"/>
    <numFmt numFmtId="174" formatCode="\$#,##0"/>
  </numFmts>
  <fonts count="11" x14ac:knownFonts="1">
    <font>
      <sz val="11"/>
      <color theme="1"/>
      <name val="Calibri"/>
      <family val="2"/>
      <charset val="1"/>
    </font>
    <font>
      <b/>
      <sz val="13"/>
      <name val="Arial"/>
      <family val="2"/>
    </font>
    <font>
      <i/>
      <sz val="8"/>
      <color rgb="FF595959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FF"/>
      <name val="Arial"/>
      <family val="2"/>
    </font>
    <font>
      <b/>
      <sz val="10"/>
      <name val="Arial"/>
      <family val="2"/>
    </font>
    <font>
      <sz val="10"/>
      <color rgb="FF008000"/>
      <name val="Arial"/>
      <family val="2"/>
    </font>
    <font>
      <b/>
      <sz val="10"/>
      <color rgb="FFFFFF00"/>
      <name val="Arial"/>
      <family val="2"/>
    </font>
    <font>
      <b/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F00"/>
        <bgColor rgb="FFFFFF00"/>
      </patternFill>
    </fill>
    <fill>
      <patternFill patternType="solid">
        <fgColor rgb="FFD9E2F3"/>
        <bgColor rgb="FFE2EFDA"/>
      </patternFill>
    </fill>
    <fill>
      <patternFill patternType="solid">
        <fgColor rgb="FFE2EFDA"/>
        <bgColor rgb="FFD9E2F3"/>
      </patternFill>
    </fill>
  </fills>
  <borders count="2">
    <border>
      <left/>
      <right/>
      <top/>
      <bottom/>
      <diagonal/>
    </border>
    <border>
      <left/>
      <right/>
      <top style="thin">
        <color rgb="FF404040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0" fillId="2" borderId="0" xfId="0" applyFill="1"/>
    <xf numFmtId="0" fontId="4" fillId="0" borderId="0" xfId="0" applyFont="1"/>
    <xf numFmtId="10" fontId="5" fillId="0" borderId="0" xfId="0" applyNumberFormat="1" applyFont="1"/>
    <xf numFmtId="0" fontId="2" fillId="0" borderId="0" xfId="0" applyFont="1" applyAlignment="1">
      <alignment vertical="top" wrapText="1"/>
    </xf>
    <xf numFmtId="164" fontId="6" fillId="3" borderId="0" xfId="0" applyNumberFormat="1" applyFont="1" applyFill="1"/>
    <xf numFmtId="165" fontId="6" fillId="3" borderId="0" xfId="0" applyNumberFormat="1" applyFont="1" applyFill="1"/>
    <xf numFmtId="166" fontId="6" fillId="3" borderId="0" xfId="0" applyNumberFormat="1" applyFont="1" applyFill="1"/>
    <xf numFmtId="167" fontId="6" fillId="3" borderId="0" xfId="0" applyNumberFormat="1" applyFont="1" applyFill="1"/>
    <xf numFmtId="168" fontId="4" fillId="0" borderId="0" xfId="0" applyNumberFormat="1" applyFont="1"/>
    <xf numFmtId="164" fontId="4" fillId="0" borderId="0" xfId="0" applyNumberFormat="1" applyFont="1"/>
    <xf numFmtId="167" fontId="4" fillId="0" borderId="0" xfId="0" applyNumberFormat="1" applyFont="1"/>
    <xf numFmtId="169" fontId="4" fillId="0" borderId="0" xfId="0" applyNumberFormat="1" applyFont="1"/>
    <xf numFmtId="0" fontId="6" fillId="0" borderId="0" xfId="0" applyFont="1"/>
    <xf numFmtId="0" fontId="7" fillId="0" borderId="0" xfId="0" applyFont="1"/>
    <xf numFmtId="170" fontId="6" fillId="3" borderId="0" xfId="0" applyNumberFormat="1" applyFont="1" applyFill="1"/>
    <xf numFmtId="171" fontId="6" fillId="3" borderId="0" xfId="0" applyNumberFormat="1" applyFont="1" applyFill="1"/>
    <xf numFmtId="10" fontId="6" fillId="3" borderId="0" xfId="0" applyNumberFormat="1" applyFont="1" applyFill="1"/>
    <xf numFmtId="2" fontId="6" fillId="3" borderId="0" xfId="0" applyNumberFormat="1" applyFont="1" applyFill="1"/>
    <xf numFmtId="10" fontId="7" fillId="0" borderId="0" xfId="0" applyNumberFormat="1" applyFont="1"/>
    <xf numFmtId="0" fontId="3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7" fillId="4" borderId="0" xfId="0" applyFont="1" applyFill="1"/>
    <xf numFmtId="0" fontId="0" fillId="4" borderId="0" xfId="0" applyFill="1"/>
    <xf numFmtId="169" fontId="6" fillId="0" borderId="0" xfId="0" applyNumberFormat="1" applyFont="1"/>
    <xf numFmtId="3" fontId="6" fillId="0" borderId="0" xfId="0" applyNumberFormat="1" applyFont="1"/>
    <xf numFmtId="166" fontId="4" fillId="0" borderId="0" xfId="0" applyNumberFormat="1" applyFont="1"/>
    <xf numFmtId="172" fontId="6" fillId="0" borderId="0" xfId="0" applyNumberFormat="1" applyFont="1"/>
    <xf numFmtId="166" fontId="6" fillId="0" borderId="0" xfId="0" applyNumberFormat="1" applyFont="1"/>
    <xf numFmtId="166" fontId="7" fillId="0" borderId="1" xfId="0" applyNumberFormat="1" applyFont="1" applyBorder="1"/>
    <xf numFmtId="164" fontId="6" fillId="0" borderId="0" xfId="0" applyNumberFormat="1" applyFont="1"/>
    <xf numFmtId="166" fontId="7" fillId="0" borderId="0" xfId="0" applyNumberFormat="1" applyFont="1"/>
    <xf numFmtId="0" fontId="8" fillId="0" borderId="0" xfId="0" applyFont="1" applyAlignment="1">
      <alignment horizontal="center"/>
    </xf>
    <xf numFmtId="166" fontId="8" fillId="0" borderId="0" xfId="0" applyNumberFormat="1" applyFont="1"/>
    <xf numFmtId="173" fontId="4" fillId="0" borderId="0" xfId="0" applyNumberFormat="1" applyFont="1"/>
    <xf numFmtId="166" fontId="4" fillId="3" borderId="0" xfId="0" applyNumberFormat="1" applyFont="1" applyFill="1"/>
    <xf numFmtId="0" fontId="4" fillId="2" borderId="0" xfId="0" applyFont="1" applyFill="1"/>
    <xf numFmtId="165" fontId="4" fillId="2" borderId="0" xfId="0" applyNumberFormat="1" applyFont="1" applyFill="1"/>
    <xf numFmtId="167" fontId="7" fillId="3" borderId="0" xfId="0" applyNumberFormat="1" applyFont="1" applyFill="1"/>
    <xf numFmtId="167" fontId="4" fillId="2" borderId="0" xfId="0" applyNumberFormat="1" applyFont="1" applyFill="1"/>
    <xf numFmtId="171" fontId="7" fillId="0" borderId="0" xfId="0" applyNumberFormat="1" applyFont="1"/>
    <xf numFmtId="171" fontId="4" fillId="0" borderId="0" xfId="0" applyNumberFormat="1" applyFont="1"/>
    <xf numFmtId="170" fontId="4" fillId="2" borderId="0" xfId="0" applyNumberFormat="1" applyFont="1" applyFill="1"/>
    <xf numFmtId="164" fontId="7" fillId="2" borderId="0" xfId="0" applyNumberFormat="1" applyFont="1" applyFill="1" applyAlignment="1">
      <alignment horizontal="center"/>
    </xf>
    <xf numFmtId="164" fontId="7" fillId="0" borderId="0" xfId="0" applyNumberFormat="1" applyFont="1"/>
    <xf numFmtId="170" fontId="7" fillId="0" borderId="0" xfId="0" applyNumberFormat="1" applyFont="1" applyAlignment="1">
      <alignment horizontal="center"/>
    </xf>
    <xf numFmtId="10" fontId="7" fillId="0" borderId="0" xfId="0" applyNumberFormat="1" applyFont="1" applyAlignment="1">
      <alignment horizontal="center"/>
    </xf>
    <xf numFmtId="174" fontId="4" fillId="0" borderId="0" xfId="0" applyNumberFormat="1" applyFont="1" applyAlignment="1">
      <alignment horizontal="center"/>
    </xf>
    <xf numFmtId="174" fontId="7" fillId="5" borderId="0" xfId="0" applyNumberFormat="1" applyFont="1" applyFill="1" applyAlignment="1">
      <alignment horizontal="center"/>
    </xf>
    <xf numFmtId="165" fontId="4" fillId="0" borderId="0" xfId="0" applyNumberFormat="1" applyFont="1"/>
    <xf numFmtId="170" fontId="9" fillId="2" borderId="0" xfId="0" applyNumberFormat="1" applyFont="1" applyFill="1" applyAlignment="1">
      <alignment horizontal="center"/>
    </xf>
    <xf numFmtId="167" fontId="4" fillId="5" borderId="0" xfId="0" applyNumberFormat="1" applyFont="1" applyFill="1" applyAlignment="1">
      <alignment horizontal="center"/>
    </xf>
    <xf numFmtId="167" fontId="4" fillId="0" borderId="0" xfId="0" applyNumberFormat="1" applyFont="1" applyAlignment="1">
      <alignment horizontal="center"/>
    </xf>
    <xf numFmtId="167" fontId="6" fillId="0" borderId="0" xfId="0" applyNumberFormat="1" applyFont="1"/>
    <xf numFmtId="0" fontId="7" fillId="0" borderId="0" xfId="0" applyFont="1" applyAlignment="1">
      <alignment horizontal="center"/>
    </xf>
    <xf numFmtId="171" fontId="6" fillId="0" borderId="0" xfId="0" applyNumberFormat="1" applyFont="1" applyAlignment="1">
      <alignment horizontal="center"/>
    </xf>
    <xf numFmtId="167" fontId="7" fillId="5" borderId="0" xfId="0" applyNumberFormat="1" applyFont="1" applyFill="1" applyAlignment="1">
      <alignment horizontal="center"/>
    </xf>
    <xf numFmtId="170" fontId="6" fillId="0" borderId="0" xfId="0" applyNumberFormat="1" applyFont="1" applyAlignment="1">
      <alignment horizontal="center"/>
    </xf>
    <xf numFmtId="167" fontId="7" fillId="0" borderId="0" xfId="0" applyNumberFormat="1" applyFont="1" applyAlignment="1">
      <alignment horizontal="center"/>
    </xf>
    <xf numFmtId="167" fontId="8" fillId="0" borderId="0" xfId="0" applyNumberFormat="1" applyFont="1" applyAlignment="1">
      <alignment horizontal="center"/>
    </xf>
    <xf numFmtId="171" fontId="6" fillId="3" borderId="0" xfId="0" applyNumberFormat="1" applyFont="1" applyFill="1" applyAlignment="1">
      <alignment horizontal="center"/>
    </xf>
    <xf numFmtId="171" fontId="7" fillId="0" borderId="0" xfId="0" applyNumberFormat="1" applyFont="1" applyAlignment="1">
      <alignment horizontal="center"/>
    </xf>
    <xf numFmtId="167" fontId="10" fillId="5" borderId="1" xfId="0" applyNumberFormat="1" applyFont="1" applyFill="1" applyBorder="1" applyAlignment="1">
      <alignment horizontal="center"/>
    </xf>
    <xf numFmtId="167" fontId="7" fillId="5" borderId="0" xfId="0" applyNumberFormat="1" applyFont="1" applyFill="1"/>
    <xf numFmtId="171" fontId="4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105"/>
  <sheetViews>
    <sheetView tabSelected="1" zoomScaleNormal="100" workbookViewId="0"/>
  </sheetViews>
  <sheetFormatPr defaultColWidth="8.6640625" defaultRowHeight="14.25" x14ac:dyDescent="0.45"/>
  <cols>
    <col min="1" max="1" width="3" customWidth="1"/>
    <col min="2" max="2" width="42" customWidth="1"/>
    <col min="3" max="3" width="14" customWidth="1"/>
    <col min="4" max="4" width="62" customWidth="1"/>
  </cols>
  <sheetData>
    <row r="1" spans="2:4" ht="15.75" customHeight="1" x14ac:dyDescent="0.5">
      <c r="B1" s="3" t="s">
        <v>0</v>
      </c>
    </row>
    <row r="2" spans="2:4" ht="15" customHeight="1" x14ac:dyDescent="0.45">
      <c r="B2" s="4" t="s">
        <v>1</v>
      </c>
    </row>
    <row r="4" spans="2:4" ht="15" customHeight="1" x14ac:dyDescent="0.45">
      <c r="B4" s="5" t="s">
        <v>2</v>
      </c>
      <c r="C4" s="6"/>
      <c r="D4" s="5" t="s">
        <v>3</v>
      </c>
    </row>
    <row r="5" spans="2:4" ht="18.75" customHeight="1" x14ac:dyDescent="0.45">
      <c r="B5" s="7" t="s">
        <v>4</v>
      </c>
      <c r="C5" s="8">
        <f>C105</f>
        <v>0.1069</v>
      </c>
      <c r="D5" s="9" t="s">
        <v>5</v>
      </c>
    </row>
    <row r="6" spans="2:4" ht="15" customHeight="1" x14ac:dyDescent="0.45">
      <c r="B6" s="7" t="s">
        <v>6</v>
      </c>
      <c r="C6" s="10">
        <v>2.75E-2</v>
      </c>
      <c r="D6" s="9" t="s">
        <v>7</v>
      </c>
    </row>
    <row r="7" spans="2:4" ht="15" customHeight="1" x14ac:dyDescent="0.45">
      <c r="B7" s="7" t="s">
        <v>8</v>
      </c>
      <c r="C7" s="11">
        <v>56.6</v>
      </c>
      <c r="D7" s="9" t="s">
        <v>9</v>
      </c>
    </row>
    <row r="8" spans="2:4" ht="18.75" customHeight="1" x14ac:dyDescent="0.45">
      <c r="B8" s="7" t="s">
        <v>10</v>
      </c>
      <c r="C8" s="12">
        <v>100</v>
      </c>
      <c r="D8" s="9" t="s">
        <v>11</v>
      </c>
    </row>
    <row r="9" spans="2:4" ht="15" customHeight="1" x14ac:dyDescent="0.45">
      <c r="B9" s="7" t="s">
        <v>12</v>
      </c>
      <c r="C9" s="13">
        <v>44</v>
      </c>
      <c r="D9" s="9" t="s">
        <v>13</v>
      </c>
    </row>
    <row r="10" spans="2:4" ht="15" customHeight="1" x14ac:dyDescent="0.45">
      <c r="B10" s="7" t="s">
        <v>14</v>
      </c>
      <c r="C10" s="13">
        <v>47</v>
      </c>
      <c r="D10" s="9" t="s">
        <v>15</v>
      </c>
    </row>
    <row r="12" spans="2:4" ht="15" customHeight="1" x14ac:dyDescent="0.45">
      <c r="B12" s="5" t="s">
        <v>16</v>
      </c>
      <c r="C12" s="6"/>
      <c r="D12" s="5" t="s">
        <v>17</v>
      </c>
    </row>
    <row r="13" spans="2:4" ht="15" customHeight="1" x14ac:dyDescent="0.45">
      <c r="B13" s="7" t="s">
        <v>18</v>
      </c>
      <c r="C13" s="14">
        <v>410.2</v>
      </c>
      <c r="D13" s="9" t="s">
        <v>19</v>
      </c>
    </row>
    <row r="14" spans="2:4" ht="15" customHeight="1" x14ac:dyDescent="0.45">
      <c r="B14" s="7" t="s">
        <v>20</v>
      </c>
      <c r="C14" s="14">
        <v>185</v>
      </c>
      <c r="D14" s="9" t="s">
        <v>21</v>
      </c>
    </row>
    <row r="15" spans="2:4" ht="15" customHeight="1" x14ac:dyDescent="0.45">
      <c r="B15" s="7" t="s">
        <v>22</v>
      </c>
      <c r="C15" s="14">
        <v>85.2</v>
      </c>
      <c r="D15" s="9" t="s">
        <v>23</v>
      </c>
    </row>
    <row r="16" spans="2:4" ht="15" customHeight="1" x14ac:dyDescent="0.45">
      <c r="B16" s="7" t="s">
        <v>24</v>
      </c>
      <c r="C16" s="15">
        <v>0.46</v>
      </c>
      <c r="D16" s="9" t="s">
        <v>25</v>
      </c>
    </row>
    <row r="17" spans="2:4" ht="15" customHeight="1" x14ac:dyDescent="0.45">
      <c r="B17" s="7" t="s">
        <v>26</v>
      </c>
      <c r="C17" s="16">
        <v>1.28</v>
      </c>
      <c r="D17" s="9" t="s">
        <v>27</v>
      </c>
    </row>
    <row r="18" spans="2:4" ht="15" customHeight="1" x14ac:dyDescent="0.45">
      <c r="B18" s="7" t="s">
        <v>28</v>
      </c>
      <c r="C18" s="17">
        <v>1809</v>
      </c>
      <c r="D18" s="9" t="s">
        <v>29</v>
      </c>
    </row>
    <row r="19" spans="2:4" ht="18.75" customHeight="1" x14ac:dyDescent="0.45">
      <c r="B19" s="7" t="s">
        <v>30</v>
      </c>
      <c r="C19" s="15">
        <v>0.182</v>
      </c>
      <c r="D19" s="9" t="s">
        <v>31</v>
      </c>
    </row>
    <row r="21" spans="2:4" ht="15" customHeight="1" x14ac:dyDescent="0.45">
      <c r="B21" s="5" t="s">
        <v>32</v>
      </c>
      <c r="C21" s="6"/>
      <c r="D21" s="6"/>
    </row>
    <row r="22" spans="2:4" ht="18.75" customHeight="1" x14ac:dyDescent="0.45">
      <c r="B22" s="7" t="s">
        <v>33</v>
      </c>
      <c r="C22" s="18" t="s">
        <v>34</v>
      </c>
      <c r="D22" s="9" t="s">
        <v>35</v>
      </c>
    </row>
    <row r="23" spans="2:4" ht="18.75" customHeight="1" x14ac:dyDescent="0.45">
      <c r="B23" s="7" t="s">
        <v>36</v>
      </c>
      <c r="C23" s="18" t="s">
        <v>37</v>
      </c>
      <c r="D23" s="9" t="s">
        <v>38</v>
      </c>
    </row>
    <row r="24" spans="2:4" ht="18.75" customHeight="1" x14ac:dyDescent="0.45">
      <c r="B24" s="7" t="s">
        <v>39</v>
      </c>
      <c r="C24" s="18" t="s">
        <v>40</v>
      </c>
      <c r="D24" s="9" t="s">
        <v>41</v>
      </c>
    </row>
    <row r="25" spans="2:4" ht="18.75" customHeight="1" x14ac:dyDescent="0.45">
      <c r="B25" s="7" t="s">
        <v>42</v>
      </c>
      <c r="C25" s="18" t="s">
        <v>43</v>
      </c>
      <c r="D25" s="9" t="s">
        <v>44</v>
      </c>
    </row>
    <row r="26" spans="2:4" ht="18.75" customHeight="1" x14ac:dyDescent="0.45">
      <c r="B26" s="7" t="s">
        <v>45</v>
      </c>
      <c r="C26" s="18" t="s">
        <v>46</v>
      </c>
      <c r="D26" s="9" t="s">
        <v>47</v>
      </c>
    </row>
    <row r="27" spans="2:4" ht="18.75" customHeight="1" x14ac:dyDescent="0.45">
      <c r="B27" s="7" t="s">
        <v>48</v>
      </c>
      <c r="C27" s="18" t="s">
        <v>49</v>
      </c>
      <c r="D27" s="9" t="s">
        <v>50</v>
      </c>
    </row>
    <row r="28" spans="2:4" ht="18.75" customHeight="1" x14ac:dyDescent="0.45">
      <c r="B28" s="7" t="s">
        <v>51</v>
      </c>
      <c r="C28" s="18" t="s">
        <v>52</v>
      </c>
      <c r="D28" s="9" t="s">
        <v>53</v>
      </c>
    </row>
    <row r="30" spans="2:4" ht="15" customHeight="1" x14ac:dyDescent="0.45">
      <c r="B30" s="5" t="s">
        <v>54</v>
      </c>
      <c r="C30" s="6"/>
      <c r="D30" s="6"/>
    </row>
    <row r="31" spans="2:4" ht="18.75" customHeight="1" x14ac:dyDescent="0.45">
      <c r="B31" s="19" t="s">
        <v>55</v>
      </c>
      <c r="D31" s="9" t="s">
        <v>56</v>
      </c>
    </row>
    <row r="32" spans="2:4" ht="27.75" customHeight="1" x14ac:dyDescent="0.45">
      <c r="B32" s="19" t="s">
        <v>57</v>
      </c>
      <c r="D32" s="9" t="s">
        <v>58</v>
      </c>
    </row>
    <row r="33" spans="2:4" ht="18.75" customHeight="1" x14ac:dyDescent="0.45">
      <c r="B33" s="19" t="s">
        <v>59</v>
      </c>
      <c r="D33" s="9" t="s">
        <v>60</v>
      </c>
    </row>
    <row r="34" spans="2:4" ht="27.75" customHeight="1" x14ac:dyDescent="0.45">
      <c r="B34" s="19" t="s">
        <v>61</v>
      </c>
      <c r="D34" s="9" t="s">
        <v>62</v>
      </c>
    </row>
    <row r="95" spans="2:4" ht="15" customHeight="1" x14ac:dyDescent="0.45">
      <c r="B95" s="5" t="s">
        <v>63</v>
      </c>
      <c r="C95" s="6"/>
      <c r="D95" s="6"/>
    </row>
    <row r="96" spans="2:4" ht="15" customHeight="1" x14ac:dyDescent="0.45">
      <c r="B96" s="7" t="s">
        <v>64</v>
      </c>
      <c r="C96" s="20">
        <v>12.5</v>
      </c>
      <c r="D96" s="9" t="s">
        <v>65</v>
      </c>
    </row>
    <row r="97" spans="2:4" ht="15" customHeight="1" x14ac:dyDescent="0.45">
      <c r="B97" s="7" t="s">
        <v>66</v>
      </c>
      <c r="C97" s="21">
        <v>0.65</v>
      </c>
      <c r="D97" s="9" t="s">
        <v>67</v>
      </c>
    </row>
    <row r="98" spans="2:4" ht="15" customHeight="1" x14ac:dyDescent="0.45">
      <c r="B98" s="7" t="s">
        <v>68</v>
      </c>
      <c r="C98" s="21">
        <v>0.35</v>
      </c>
      <c r="D98" s="9" t="s">
        <v>69</v>
      </c>
    </row>
    <row r="99" spans="2:4" ht="18.75" customHeight="1" x14ac:dyDescent="0.45">
      <c r="B99" s="7" t="s">
        <v>70</v>
      </c>
      <c r="C99" s="12">
        <v>132</v>
      </c>
      <c r="D99" s="9" t="s">
        <v>71</v>
      </c>
    </row>
    <row r="101" spans="2:4" ht="15" customHeight="1" x14ac:dyDescent="0.45">
      <c r="B101" s="5" t="s">
        <v>72</v>
      </c>
      <c r="C101" s="6"/>
      <c r="D101" s="5" t="s">
        <v>3</v>
      </c>
    </row>
    <row r="102" spans="2:4" ht="15" customHeight="1" x14ac:dyDescent="0.45">
      <c r="B102" s="7" t="s">
        <v>73</v>
      </c>
      <c r="C102" s="22">
        <v>4.7100000000000003E-2</v>
      </c>
      <c r="D102" s="9" t="s">
        <v>74</v>
      </c>
    </row>
    <row r="103" spans="2:4" ht="18.75" customHeight="1" x14ac:dyDescent="0.45">
      <c r="B103" s="7" t="s">
        <v>75</v>
      </c>
      <c r="C103" s="23">
        <v>1.3</v>
      </c>
      <c r="D103" s="9" t="s">
        <v>76</v>
      </c>
    </row>
    <row r="104" spans="2:4" ht="15" customHeight="1" x14ac:dyDescent="0.45">
      <c r="B104" s="7" t="s">
        <v>77</v>
      </c>
      <c r="C104" s="22">
        <v>4.5999999999999999E-2</v>
      </c>
      <c r="D104" s="9" t="s">
        <v>78</v>
      </c>
    </row>
    <row r="105" spans="2:4" ht="15" customHeight="1" x14ac:dyDescent="0.45">
      <c r="B105" s="19" t="s">
        <v>79</v>
      </c>
      <c r="C105" s="24">
        <f>C102+C103*C104</f>
        <v>0.1069</v>
      </c>
      <c r="D105" s="9" t="s">
        <v>80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39"/>
  <sheetViews>
    <sheetView zoomScaleNormal="100" workbookViewId="0"/>
  </sheetViews>
  <sheetFormatPr defaultColWidth="8.6640625" defaultRowHeight="14.25" x14ac:dyDescent="0.45"/>
  <cols>
    <col min="1" max="1" width="3" customWidth="1"/>
    <col min="2" max="2" width="40" customWidth="1"/>
    <col min="3" max="12" width="11" customWidth="1"/>
  </cols>
  <sheetData>
    <row r="1" spans="2:12" ht="15.75" customHeight="1" x14ac:dyDescent="0.5">
      <c r="B1" s="3" t="s">
        <v>81</v>
      </c>
    </row>
    <row r="2" spans="2:12" ht="15" customHeight="1" x14ac:dyDescent="0.45">
      <c r="B2" s="4" t="s">
        <v>82</v>
      </c>
    </row>
    <row r="4" spans="2:12" ht="15" customHeight="1" x14ac:dyDescent="0.45">
      <c r="B4" s="5" t="s">
        <v>83</v>
      </c>
      <c r="C4" s="25" t="s">
        <v>84</v>
      </c>
      <c r="D4" s="25" t="s">
        <v>85</v>
      </c>
      <c r="E4" s="25" t="s">
        <v>86</v>
      </c>
      <c r="F4" s="25" t="s">
        <v>87</v>
      </c>
      <c r="G4" s="25" t="s">
        <v>88</v>
      </c>
      <c r="H4" s="25" t="s">
        <v>89</v>
      </c>
      <c r="I4" s="25" t="s">
        <v>90</v>
      </c>
      <c r="J4" s="25" t="s">
        <v>91</v>
      </c>
      <c r="K4" s="25" t="s">
        <v>92</v>
      </c>
      <c r="L4" s="25" t="s">
        <v>93</v>
      </c>
    </row>
    <row r="5" spans="2:12" ht="15" customHeight="1" x14ac:dyDescent="0.45">
      <c r="B5" s="7" t="s">
        <v>94</v>
      </c>
      <c r="C5" s="26">
        <v>1</v>
      </c>
      <c r="D5" s="26">
        <v>2</v>
      </c>
      <c r="E5" s="26">
        <v>3</v>
      </c>
      <c r="F5" s="26">
        <v>4</v>
      </c>
      <c r="G5" s="26">
        <v>5</v>
      </c>
      <c r="H5" s="26">
        <v>6</v>
      </c>
      <c r="I5" s="26">
        <v>7</v>
      </c>
      <c r="J5" s="26">
        <v>8</v>
      </c>
      <c r="K5" s="26">
        <v>9</v>
      </c>
      <c r="L5" s="26">
        <v>10</v>
      </c>
    </row>
    <row r="7" spans="2:12" ht="15" customHeight="1" x14ac:dyDescent="0.45">
      <c r="B7" s="27" t="s">
        <v>95</v>
      </c>
      <c r="C7" s="28"/>
      <c r="D7" s="28"/>
      <c r="E7" s="28"/>
      <c r="F7" s="28"/>
      <c r="G7" s="28"/>
      <c r="H7" s="28"/>
      <c r="I7" s="28"/>
      <c r="J7" s="28"/>
      <c r="K7" s="28"/>
      <c r="L7" s="28"/>
    </row>
    <row r="8" spans="2:12" ht="15" customHeight="1" x14ac:dyDescent="0.45">
      <c r="B8" t="s">
        <v>96</v>
      </c>
      <c r="C8" s="29">
        <v>1796</v>
      </c>
      <c r="D8" s="17">
        <f t="shared" ref="D8:L8" si="0">C10</f>
        <v>1870</v>
      </c>
      <c r="E8" s="17">
        <f t="shared" si="0"/>
        <v>1935</v>
      </c>
      <c r="F8" s="17">
        <f t="shared" si="0"/>
        <v>2003</v>
      </c>
      <c r="G8" s="17">
        <f t="shared" si="0"/>
        <v>2072</v>
      </c>
      <c r="H8" s="17">
        <f t="shared" si="0"/>
        <v>2143</v>
      </c>
      <c r="I8" s="17">
        <f t="shared" si="0"/>
        <v>2215</v>
      </c>
      <c r="J8" s="17">
        <f t="shared" si="0"/>
        <v>2286</v>
      </c>
      <c r="K8" s="17">
        <f t="shared" si="0"/>
        <v>2358</v>
      </c>
      <c r="L8" s="17">
        <f t="shared" si="0"/>
        <v>2429</v>
      </c>
    </row>
    <row r="9" spans="2:12" ht="15" customHeight="1" x14ac:dyDescent="0.45">
      <c r="B9" t="s">
        <v>97</v>
      </c>
      <c r="C9" s="29">
        <v>74</v>
      </c>
      <c r="D9" s="29">
        <v>65</v>
      </c>
      <c r="E9" s="29">
        <v>68</v>
      </c>
      <c r="F9" s="29">
        <v>69</v>
      </c>
      <c r="G9" s="29">
        <v>71</v>
      </c>
      <c r="H9" s="29">
        <v>72</v>
      </c>
      <c r="I9" s="29">
        <v>71</v>
      </c>
      <c r="J9" s="29">
        <v>72</v>
      </c>
      <c r="K9" s="29">
        <v>71</v>
      </c>
      <c r="L9" s="29">
        <v>71</v>
      </c>
    </row>
    <row r="10" spans="2:12" ht="15" customHeight="1" x14ac:dyDescent="0.45">
      <c r="B10" t="s">
        <v>98</v>
      </c>
      <c r="C10" s="17">
        <f t="shared" ref="C10:L10" si="1">C8+C9</f>
        <v>1870</v>
      </c>
      <c r="D10" s="17">
        <f t="shared" si="1"/>
        <v>1935</v>
      </c>
      <c r="E10" s="17">
        <f t="shared" si="1"/>
        <v>2003</v>
      </c>
      <c r="F10" s="17">
        <f t="shared" si="1"/>
        <v>2072</v>
      </c>
      <c r="G10" s="17">
        <f t="shared" si="1"/>
        <v>2143</v>
      </c>
      <c r="H10" s="17">
        <f t="shared" si="1"/>
        <v>2215</v>
      </c>
      <c r="I10" s="17">
        <f t="shared" si="1"/>
        <v>2286</v>
      </c>
      <c r="J10" s="17">
        <f t="shared" si="1"/>
        <v>2358</v>
      </c>
      <c r="K10" s="17">
        <f t="shared" si="1"/>
        <v>2429</v>
      </c>
      <c r="L10" s="17">
        <f t="shared" si="1"/>
        <v>2500</v>
      </c>
    </row>
    <row r="11" spans="2:12" ht="15" customHeight="1" x14ac:dyDescent="0.45">
      <c r="B11" t="s">
        <v>99</v>
      </c>
      <c r="C11" s="17">
        <f t="shared" ref="C11:L11" si="2">(C8+C10)/2</f>
        <v>1833</v>
      </c>
      <c r="D11" s="17">
        <f t="shared" si="2"/>
        <v>1902.5</v>
      </c>
      <c r="E11" s="17">
        <f t="shared" si="2"/>
        <v>1969</v>
      </c>
      <c r="F11" s="17">
        <f t="shared" si="2"/>
        <v>2037.5</v>
      </c>
      <c r="G11" s="17">
        <f t="shared" si="2"/>
        <v>2107.5</v>
      </c>
      <c r="H11" s="17">
        <f t="shared" si="2"/>
        <v>2179</v>
      </c>
      <c r="I11" s="17">
        <f t="shared" si="2"/>
        <v>2250.5</v>
      </c>
      <c r="J11" s="17">
        <f t="shared" si="2"/>
        <v>2322</v>
      </c>
      <c r="K11" s="17">
        <f t="shared" si="2"/>
        <v>2393.5</v>
      </c>
      <c r="L11" s="17">
        <f t="shared" si="2"/>
        <v>2464.5</v>
      </c>
    </row>
    <row r="13" spans="2:12" ht="15" customHeight="1" x14ac:dyDescent="0.45">
      <c r="B13" s="27" t="s">
        <v>100</v>
      </c>
      <c r="C13" s="28"/>
      <c r="D13" s="28"/>
      <c r="E13" s="28"/>
      <c r="F13" s="28"/>
      <c r="G13" s="28"/>
      <c r="H13" s="28"/>
      <c r="I13" s="28"/>
      <c r="J13" s="28"/>
      <c r="K13" s="28"/>
      <c r="L13" s="28"/>
    </row>
    <row r="14" spans="2:12" ht="15" customHeight="1" x14ac:dyDescent="0.45">
      <c r="B14" t="s">
        <v>101</v>
      </c>
      <c r="C14" s="30">
        <v>889</v>
      </c>
      <c r="D14" s="30">
        <v>780</v>
      </c>
      <c r="E14" s="30">
        <v>800</v>
      </c>
      <c r="F14" s="30">
        <v>815</v>
      </c>
      <c r="G14" s="30">
        <v>830</v>
      </c>
      <c r="H14" s="30">
        <v>845</v>
      </c>
      <c r="I14" s="30">
        <v>785</v>
      </c>
      <c r="J14" s="30">
        <v>850</v>
      </c>
      <c r="K14" s="30">
        <v>865</v>
      </c>
      <c r="L14" s="30">
        <v>880</v>
      </c>
    </row>
    <row r="15" spans="2:12" ht="15" customHeight="1" x14ac:dyDescent="0.45">
      <c r="B15" t="s">
        <v>102</v>
      </c>
      <c r="C15" s="31">
        <f t="shared" ref="C15:L15" si="3">C11*C14/1000</f>
        <v>1629.537</v>
      </c>
      <c r="D15" s="31">
        <f t="shared" si="3"/>
        <v>1483.95</v>
      </c>
      <c r="E15" s="31">
        <f t="shared" si="3"/>
        <v>1575.2</v>
      </c>
      <c r="F15" s="31">
        <f t="shared" si="3"/>
        <v>1660.5625</v>
      </c>
      <c r="G15" s="31">
        <f t="shared" si="3"/>
        <v>1749.2249999999999</v>
      </c>
      <c r="H15" s="31">
        <f t="shared" si="3"/>
        <v>1841.2550000000001</v>
      </c>
      <c r="I15" s="31">
        <f t="shared" si="3"/>
        <v>1766.6424999999999</v>
      </c>
      <c r="J15" s="31">
        <f t="shared" si="3"/>
        <v>1973.7</v>
      </c>
      <c r="K15" s="31">
        <f t="shared" si="3"/>
        <v>2070.3775000000001</v>
      </c>
      <c r="L15" s="31">
        <f t="shared" si="3"/>
        <v>2168.7600000000002</v>
      </c>
    </row>
    <row r="16" spans="2:12" ht="15" customHeight="1" x14ac:dyDescent="0.45">
      <c r="B16" t="s">
        <v>103</v>
      </c>
      <c r="D16" s="15">
        <f t="shared" ref="D16:L16" si="4">D15/C15-1</f>
        <v>-8.9342555584807193E-2</v>
      </c>
      <c r="E16" s="15">
        <f t="shared" si="4"/>
        <v>6.1491290137807963E-2</v>
      </c>
      <c r="F16" s="15">
        <f t="shared" si="4"/>
        <v>5.4191531234129009E-2</v>
      </c>
      <c r="G16" s="15">
        <f t="shared" si="4"/>
        <v>5.3393052053144485E-2</v>
      </c>
      <c r="H16" s="15">
        <f t="shared" si="4"/>
        <v>5.2611870971430275E-2</v>
      </c>
      <c r="I16" s="15">
        <f t="shared" si="4"/>
        <v>-4.0522632660875413E-2</v>
      </c>
      <c r="J16" s="15">
        <f t="shared" si="4"/>
        <v>0.11720396175230707</v>
      </c>
      <c r="K16" s="15">
        <f t="shared" si="4"/>
        <v>4.8982874803668253E-2</v>
      </c>
      <c r="L16" s="15">
        <f t="shared" si="4"/>
        <v>4.751911185279023E-2</v>
      </c>
    </row>
    <row r="18" spans="2:12" ht="15" customHeight="1" x14ac:dyDescent="0.45">
      <c r="B18" s="27" t="s">
        <v>104</v>
      </c>
      <c r="C18" s="28"/>
      <c r="D18" s="28"/>
      <c r="E18" s="28"/>
      <c r="F18" s="28"/>
      <c r="G18" s="28"/>
      <c r="H18" s="28"/>
      <c r="I18" s="28"/>
      <c r="J18" s="28"/>
      <c r="K18" s="28"/>
      <c r="L18" s="28"/>
    </row>
    <row r="19" spans="2:12" ht="15" customHeight="1" x14ac:dyDescent="0.45">
      <c r="B19" t="s">
        <v>105</v>
      </c>
      <c r="C19" s="32">
        <v>0.185</v>
      </c>
      <c r="D19" s="32">
        <v>0.1835</v>
      </c>
      <c r="E19" s="32">
        <v>0.182</v>
      </c>
      <c r="F19" s="32">
        <v>0.18049999999999999</v>
      </c>
      <c r="G19" s="32">
        <v>0.17899999999999999</v>
      </c>
      <c r="H19" s="32">
        <v>0.17749999999999999</v>
      </c>
      <c r="I19" s="32">
        <v>0.17599999999999999</v>
      </c>
      <c r="J19" s="32">
        <v>0.17449999999999999</v>
      </c>
      <c r="K19" s="32">
        <v>0.17299999999999999</v>
      </c>
      <c r="L19" s="32">
        <v>0.17150000000000001</v>
      </c>
    </row>
    <row r="20" spans="2:12" ht="15" customHeight="1" x14ac:dyDescent="0.45">
      <c r="B20" t="s">
        <v>106</v>
      </c>
      <c r="C20" s="31">
        <f t="shared" ref="C20:L20" si="5">C15*C19</f>
        <v>301.46434499999998</v>
      </c>
      <c r="D20" s="31">
        <f t="shared" si="5"/>
        <v>272.30482499999999</v>
      </c>
      <c r="E20" s="31">
        <f t="shared" si="5"/>
        <v>286.68639999999999</v>
      </c>
      <c r="F20" s="31">
        <f t="shared" si="5"/>
        <v>299.73153124999999</v>
      </c>
      <c r="G20" s="31">
        <f t="shared" si="5"/>
        <v>313.11127499999998</v>
      </c>
      <c r="H20" s="31">
        <f t="shared" si="5"/>
        <v>326.82276250000001</v>
      </c>
      <c r="I20" s="31">
        <f t="shared" si="5"/>
        <v>310.92907999999994</v>
      </c>
      <c r="J20" s="31">
        <f t="shared" si="5"/>
        <v>344.41064999999998</v>
      </c>
      <c r="K20" s="31">
        <f t="shared" si="5"/>
        <v>358.17530749999997</v>
      </c>
      <c r="L20" s="31">
        <f t="shared" si="5"/>
        <v>371.94234000000006</v>
      </c>
    </row>
    <row r="21" spans="2:12" ht="15" customHeight="1" x14ac:dyDescent="0.45">
      <c r="B21" t="s">
        <v>107</v>
      </c>
      <c r="C21" s="33">
        <v>113</v>
      </c>
      <c r="D21" s="33">
        <v>115</v>
      </c>
      <c r="E21" s="33">
        <v>118</v>
      </c>
      <c r="F21" s="33">
        <v>120</v>
      </c>
      <c r="G21" s="33">
        <v>122</v>
      </c>
      <c r="H21" s="33">
        <v>125</v>
      </c>
      <c r="I21" s="33">
        <v>127</v>
      </c>
      <c r="J21" s="33">
        <v>130</v>
      </c>
      <c r="K21" s="33">
        <v>132</v>
      </c>
      <c r="L21" s="33">
        <v>135</v>
      </c>
    </row>
    <row r="22" spans="2:12" ht="15" customHeight="1" x14ac:dyDescent="0.45">
      <c r="B22" t="s">
        <v>108</v>
      </c>
      <c r="C22" s="33">
        <v>70</v>
      </c>
      <c r="D22" s="33">
        <v>74</v>
      </c>
      <c r="E22" s="33">
        <v>77</v>
      </c>
      <c r="F22" s="33">
        <v>81</v>
      </c>
      <c r="G22" s="33">
        <v>85</v>
      </c>
      <c r="H22" s="33">
        <v>90</v>
      </c>
      <c r="I22" s="33">
        <v>94</v>
      </c>
      <c r="J22" s="33">
        <v>99</v>
      </c>
      <c r="K22" s="33">
        <v>104</v>
      </c>
      <c r="L22" s="33">
        <v>109</v>
      </c>
    </row>
    <row r="23" spans="2:12" ht="15" customHeight="1" x14ac:dyDescent="0.45">
      <c r="B23" t="s">
        <v>109</v>
      </c>
      <c r="C23" s="33">
        <v>12</v>
      </c>
      <c r="D23" s="33">
        <v>12.5</v>
      </c>
      <c r="E23" s="33">
        <v>13</v>
      </c>
      <c r="F23" s="33">
        <v>13.5</v>
      </c>
      <c r="G23" s="33">
        <v>14</v>
      </c>
      <c r="H23" s="33">
        <v>14.6</v>
      </c>
      <c r="I23" s="33">
        <v>15.2</v>
      </c>
      <c r="J23" s="33">
        <v>15.8</v>
      </c>
      <c r="K23" s="33">
        <v>16.399999999999999</v>
      </c>
      <c r="L23" s="33">
        <v>17.100000000000001</v>
      </c>
    </row>
    <row r="24" spans="2:12" ht="15" customHeight="1" x14ac:dyDescent="0.45">
      <c r="B24" t="s">
        <v>110</v>
      </c>
      <c r="C24" s="33">
        <v>12</v>
      </c>
      <c r="D24" s="33">
        <v>12.6</v>
      </c>
      <c r="E24" s="33">
        <v>13.2</v>
      </c>
      <c r="F24" s="33">
        <v>13.9</v>
      </c>
      <c r="G24" s="33">
        <v>14.6</v>
      </c>
      <c r="H24" s="33">
        <v>15.3</v>
      </c>
      <c r="I24" s="33">
        <v>16.100000000000001</v>
      </c>
      <c r="J24" s="33">
        <v>16.899999999999999</v>
      </c>
      <c r="K24" s="33">
        <v>17.7</v>
      </c>
      <c r="L24" s="33">
        <v>18.600000000000001</v>
      </c>
    </row>
    <row r="25" spans="2:12" ht="15" customHeight="1" x14ac:dyDescent="0.45">
      <c r="B25" t="s">
        <v>111</v>
      </c>
      <c r="C25" s="31">
        <f t="shared" ref="C25:L25" si="6">SUM(C21:C24)</f>
        <v>207</v>
      </c>
      <c r="D25" s="31">
        <f t="shared" si="6"/>
        <v>214.1</v>
      </c>
      <c r="E25" s="31">
        <f t="shared" si="6"/>
        <v>221.2</v>
      </c>
      <c r="F25" s="31">
        <f t="shared" si="6"/>
        <v>228.4</v>
      </c>
      <c r="G25" s="31">
        <f t="shared" si="6"/>
        <v>235.6</v>
      </c>
      <c r="H25" s="31">
        <f t="shared" si="6"/>
        <v>244.9</v>
      </c>
      <c r="I25" s="31">
        <f t="shared" si="6"/>
        <v>252.29999999999998</v>
      </c>
      <c r="J25" s="31">
        <f t="shared" si="6"/>
        <v>261.7</v>
      </c>
      <c r="K25" s="31">
        <f t="shared" si="6"/>
        <v>270.10000000000002</v>
      </c>
      <c r="L25" s="31">
        <f t="shared" si="6"/>
        <v>279.70000000000005</v>
      </c>
    </row>
    <row r="26" spans="2:12" ht="15" customHeight="1" x14ac:dyDescent="0.45">
      <c r="B26" t="s">
        <v>112</v>
      </c>
      <c r="C26" s="34">
        <f t="shared" ref="C26:L26" si="7">C20+C25</f>
        <v>508.46434499999998</v>
      </c>
      <c r="D26" s="34">
        <f t="shared" si="7"/>
        <v>486.40482499999996</v>
      </c>
      <c r="E26" s="34">
        <f t="shared" si="7"/>
        <v>507.88639999999998</v>
      </c>
      <c r="F26" s="34">
        <f t="shared" si="7"/>
        <v>528.13153124999997</v>
      </c>
      <c r="G26" s="34">
        <f t="shared" si="7"/>
        <v>548.711275</v>
      </c>
      <c r="H26" s="34">
        <f t="shared" si="7"/>
        <v>571.72276250000004</v>
      </c>
      <c r="I26" s="34">
        <f t="shared" si="7"/>
        <v>563.22907999999995</v>
      </c>
      <c r="J26" s="34">
        <f t="shared" si="7"/>
        <v>606.11064999999996</v>
      </c>
      <c r="K26" s="34">
        <f t="shared" si="7"/>
        <v>628.27530750000005</v>
      </c>
      <c r="L26" s="34">
        <f t="shared" si="7"/>
        <v>651.6423400000001</v>
      </c>
    </row>
    <row r="27" spans="2:12" ht="15" customHeight="1" x14ac:dyDescent="0.45">
      <c r="B27" t="s">
        <v>103</v>
      </c>
      <c r="C27" s="15">
        <f>C26/Assumptions!$C$13-1</f>
        <v>0.23955227937591417</v>
      </c>
      <c r="D27" s="15">
        <f t="shared" ref="D27:L27" si="8">D26/C26-1</f>
        <v>-4.3384595629807676E-2</v>
      </c>
      <c r="E27" s="15">
        <f t="shared" si="8"/>
        <v>4.4163984187451266E-2</v>
      </c>
      <c r="F27" s="15">
        <f t="shared" si="8"/>
        <v>3.9861534488814687E-2</v>
      </c>
      <c r="G27" s="15">
        <f t="shared" si="8"/>
        <v>3.8967080229599604E-2</v>
      </c>
      <c r="H27" s="15">
        <f t="shared" si="8"/>
        <v>4.1937333071933036E-2</v>
      </c>
      <c r="I27" s="15">
        <f t="shared" si="8"/>
        <v>-1.4856295843214906E-2</v>
      </c>
      <c r="J27" s="15">
        <f t="shared" si="8"/>
        <v>7.6135220148789262E-2</v>
      </c>
      <c r="K27" s="15">
        <f t="shared" si="8"/>
        <v>3.6568665308883919E-2</v>
      </c>
      <c r="L27" s="15">
        <f t="shared" si="8"/>
        <v>3.7192345809325067E-2</v>
      </c>
    </row>
    <row r="29" spans="2:12" ht="15" customHeight="1" x14ac:dyDescent="0.45">
      <c r="B29" s="27" t="s">
        <v>113</v>
      </c>
      <c r="C29" s="28"/>
      <c r="D29" s="28"/>
      <c r="E29" s="28"/>
      <c r="F29" s="28"/>
      <c r="G29" s="28"/>
      <c r="H29" s="28"/>
      <c r="I29" s="28"/>
      <c r="J29" s="28"/>
      <c r="K29" s="28"/>
      <c r="L29" s="28"/>
    </row>
    <row r="30" spans="2:12" ht="15" customHeight="1" x14ac:dyDescent="0.45">
      <c r="B30" t="s">
        <v>114</v>
      </c>
      <c r="C30" s="35">
        <v>0.46</v>
      </c>
      <c r="D30" s="35">
        <v>0.45500000000000002</v>
      </c>
      <c r="E30" s="35">
        <v>0.48</v>
      </c>
      <c r="F30" s="35">
        <v>0.49</v>
      </c>
      <c r="G30" s="35">
        <v>0.5</v>
      </c>
      <c r="H30" s="35">
        <v>0.5</v>
      </c>
      <c r="I30" s="35">
        <v>0.48499999999999999</v>
      </c>
      <c r="J30" s="35">
        <v>0.5</v>
      </c>
      <c r="K30" s="35">
        <v>0.5</v>
      </c>
      <c r="L30" s="35">
        <v>0.5</v>
      </c>
    </row>
    <row r="31" spans="2:12" ht="15" customHeight="1" x14ac:dyDescent="0.45">
      <c r="B31" t="s">
        <v>115</v>
      </c>
      <c r="C31" s="36">
        <f t="shared" ref="C31:L31" si="9">C26*C30</f>
        <v>233.89359870000001</v>
      </c>
      <c r="D31" s="36">
        <f t="shared" si="9"/>
        <v>221.314195375</v>
      </c>
      <c r="E31" s="36">
        <f t="shared" si="9"/>
        <v>243.78547199999997</v>
      </c>
      <c r="F31" s="36">
        <f t="shared" si="9"/>
        <v>258.78445031249998</v>
      </c>
      <c r="G31" s="36">
        <f t="shared" si="9"/>
        <v>274.3556375</v>
      </c>
      <c r="H31" s="36">
        <f t="shared" si="9"/>
        <v>285.86138125000002</v>
      </c>
      <c r="I31" s="36">
        <f t="shared" si="9"/>
        <v>273.16610379999997</v>
      </c>
      <c r="J31" s="36">
        <f t="shared" si="9"/>
        <v>303.05532499999998</v>
      </c>
      <c r="K31" s="36">
        <f t="shared" si="9"/>
        <v>314.13765375000003</v>
      </c>
      <c r="L31" s="36">
        <f t="shared" si="9"/>
        <v>325.82117000000005</v>
      </c>
    </row>
    <row r="33" spans="2:12" ht="15" customHeight="1" x14ac:dyDescent="0.45">
      <c r="B33" s="27" t="s">
        <v>116</v>
      </c>
      <c r="C33" s="28"/>
      <c r="D33" s="28"/>
      <c r="E33" s="28"/>
      <c r="F33" s="28"/>
      <c r="G33" s="28"/>
      <c r="H33" s="28"/>
      <c r="I33" s="28"/>
      <c r="J33" s="28"/>
      <c r="K33" s="28"/>
      <c r="L33" s="28"/>
    </row>
    <row r="34" spans="2:12" ht="15" customHeight="1" x14ac:dyDescent="0.45">
      <c r="B34" t="s">
        <v>117</v>
      </c>
      <c r="C34" s="35">
        <v>0.5</v>
      </c>
      <c r="D34" s="35">
        <v>0.51</v>
      </c>
      <c r="E34" s="35">
        <v>0.52</v>
      </c>
      <c r="F34" s="35">
        <v>0.53500000000000003</v>
      </c>
      <c r="G34" s="35">
        <v>0.55000000000000004</v>
      </c>
      <c r="H34" s="35">
        <v>0.55000000000000004</v>
      </c>
      <c r="I34" s="35">
        <v>0.55000000000000004</v>
      </c>
      <c r="J34" s="35">
        <v>0.55000000000000004</v>
      </c>
      <c r="K34" s="35">
        <v>0.55000000000000004</v>
      </c>
      <c r="L34" s="35">
        <v>0.55000000000000004</v>
      </c>
    </row>
    <row r="35" spans="2:12" ht="15" customHeight="1" x14ac:dyDescent="0.45">
      <c r="B35" t="s">
        <v>118</v>
      </c>
      <c r="C35" s="34">
        <f t="shared" ref="C35:L35" si="10">C31*C34</f>
        <v>116.94679935000001</v>
      </c>
      <c r="D35" s="34">
        <f t="shared" si="10"/>
        <v>112.87023964125</v>
      </c>
      <c r="E35" s="34">
        <f t="shared" si="10"/>
        <v>126.76844543999999</v>
      </c>
      <c r="F35" s="34">
        <f t="shared" si="10"/>
        <v>138.44968091718749</v>
      </c>
      <c r="G35" s="34">
        <f t="shared" si="10"/>
        <v>150.89560062500001</v>
      </c>
      <c r="H35" s="34">
        <f t="shared" si="10"/>
        <v>157.22375968750003</v>
      </c>
      <c r="I35" s="34">
        <f t="shared" si="10"/>
        <v>150.24135709000001</v>
      </c>
      <c r="J35" s="34">
        <f t="shared" si="10"/>
        <v>166.68042875</v>
      </c>
      <c r="K35" s="34">
        <f t="shared" si="10"/>
        <v>172.77570956250003</v>
      </c>
      <c r="L35" s="34">
        <f t="shared" si="10"/>
        <v>179.20164350000005</v>
      </c>
    </row>
    <row r="36" spans="2:12" ht="15" customHeight="1" x14ac:dyDescent="0.45">
      <c r="B36" t="s">
        <v>119</v>
      </c>
      <c r="C36" s="15">
        <f t="shared" ref="C36:L36" si="11">C35/C26</f>
        <v>0.23</v>
      </c>
      <c r="D36" s="15">
        <f t="shared" si="11"/>
        <v>0.23205000000000001</v>
      </c>
      <c r="E36" s="15">
        <f t="shared" si="11"/>
        <v>0.24959999999999999</v>
      </c>
      <c r="F36" s="15">
        <f t="shared" si="11"/>
        <v>0.26214999999999999</v>
      </c>
      <c r="G36" s="15">
        <f t="shared" si="11"/>
        <v>0.27500000000000002</v>
      </c>
      <c r="H36" s="15">
        <f t="shared" si="11"/>
        <v>0.27500000000000002</v>
      </c>
      <c r="I36" s="15">
        <f t="shared" si="11"/>
        <v>0.26675000000000004</v>
      </c>
      <c r="J36" s="15">
        <f t="shared" si="11"/>
        <v>0.27500000000000002</v>
      </c>
      <c r="K36" s="15">
        <f t="shared" si="11"/>
        <v>0.27500000000000002</v>
      </c>
      <c r="L36" s="15">
        <f t="shared" si="11"/>
        <v>0.27500000000000002</v>
      </c>
    </row>
    <row r="38" spans="2:12" ht="15" customHeight="1" x14ac:dyDescent="0.45">
      <c r="B38" s="4" t="s">
        <v>120</v>
      </c>
    </row>
    <row r="39" spans="2:12" ht="15" customHeight="1" x14ac:dyDescent="0.45">
      <c r="B39" s="4" t="s">
        <v>121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L39"/>
  <sheetViews>
    <sheetView zoomScaleNormal="100" workbookViewId="0"/>
  </sheetViews>
  <sheetFormatPr defaultColWidth="8.6640625" defaultRowHeight="14.25" x14ac:dyDescent="0.45"/>
  <cols>
    <col min="1" max="1" width="3" customWidth="1"/>
    <col min="2" max="2" width="40" customWidth="1"/>
    <col min="3" max="12" width="11" customWidth="1"/>
  </cols>
  <sheetData>
    <row r="1" spans="2:12" ht="15.75" customHeight="1" x14ac:dyDescent="0.5">
      <c r="B1" s="3" t="s">
        <v>122</v>
      </c>
    </row>
    <row r="2" spans="2:12" ht="15" customHeight="1" x14ac:dyDescent="0.45">
      <c r="B2" s="4" t="s">
        <v>123</v>
      </c>
    </row>
    <row r="4" spans="2:12" ht="15" customHeight="1" x14ac:dyDescent="0.45">
      <c r="B4" s="5" t="s">
        <v>83</v>
      </c>
      <c r="C4" s="25" t="s">
        <v>84</v>
      </c>
      <c r="D4" s="25" t="s">
        <v>85</v>
      </c>
      <c r="E4" s="25" t="s">
        <v>86</v>
      </c>
      <c r="F4" s="25" t="s">
        <v>87</v>
      </c>
      <c r="G4" s="25" t="s">
        <v>88</v>
      </c>
      <c r="H4" s="25" t="s">
        <v>89</v>
      </c>
      <c r="I4" s="25" t="s">
        <v>90</v>
      </c>
      <c r="J4" s="25" t="s">
        <v>91</v>
      </c>
      <c r="K4" s="25" t="s">
        <v>92</v>
      </c>
      <c r="L4" s="25" t="s">
        <v>93</v>
      </c>
    </row>
    <row r="5" spans="2:12" ht="15" customHeight="1" x14ac:dyDescent="0.45">
      <c r="B5" t="s">
        <v>94</v>
      </c>
      <c r="C5" s="37">
        <f>Model!C5</f>
        <v>1</v>
      </c>
      <c r="D5" s="37">
        <f>Model!D5</f>
        <v>2</v>
      </c>
      <c r="E5" s="37">
        <f>Model!E5</f>
        <v>3</v>
      </c>
      <c r="F5" s="37">
        <f>Model!F5</f>
        <v>4</v>
      </c>
      <c r="G5" s="37">
        <f>Model!G5</f>
        <v>5</v>
      </c>
      <c r="H5" s="37">
        <f>Model!H5</f>
        <v>6</v>
      </c>
      <c r="I5" s="37">
        <f>Model!I5</f>
        <v>7</v>
      </c>
      <c r="J5" s="37">
        <f>Model!J5</f>
        <v>8</v>
      </c>
      <c r="K5" s="37">
        <f>Model!K5</f>
        <v>9</v>
      </c>
      <c r="L5" s="37">
        <f>Model!L5</f>
        <v>10</v>
      </c>
    </row>
    <row r="6" spans="2:12" ht="15" customHeight="1" x14ac:dyDescent="0.45">
      <c r="B6" t="s">
        <v>118</v>
      </c>
      <c r="C6" s="38">
        <f>Model!C35</f>
        <v>116.94679935000001</v>
      </c>
      <c r="D6" s="38">
        <f>Model!D35</f>
        <v>112.87023964125</v>
      </c>
      <c r="E6" s="38">
        <f>Model!E35</f>
        <v>126.76844543999999</v>
      </c>
      <c r="F6" s="38">
        <f>Model!F35</f>
        <v>138.44968091718749</v>
      </c>
      <c r="G6" s="38">
        <f>Model!G35</f>
        <v>150.89560062500001</v>
      </c>
      <c r="H6" s="38">
        <f>Model!H35</f>
        <v>157.22375968750003</v>
      </c>
      <c r="I6" s="38">
        <f>Model!I35</f>
        <v>150.24135709000001</v>
      </c>
      <c r="J6" s="38">
        <f>Model!J35</f>
        <v>166.68042875</v>
      </c>
      <c r="K6" s="38">
        <f>Model!K35</f>
        <v>172.77570956250003</v>
      </c>
      <c r="L6" s="38">
        <f>Model!L35</f>
        <v>179.20164350000005</v>
      </c>
    </row>
    <row r="7" spans="2:12" ht="15" customHeight="1" x14ac:dyDescent="0.45">
      <c r="B7" t="s">
        <v>124</v>
      </c>
      <c r="C7" s="39">
        <f>1/(1+Assumptions!$C$5)^C5</f>
        <v>0.90342397687234621</v>
      </c>
      <c r="D7" s="39">
        <f>1/(1+Assumptions!$C$5)^D5</f>
        <v>0.8161748819878456</v>
      </c>
      <c r="E7" s="39">
        <f>1/(1+Assumptions!$C$5)^E5</f>
        <v>0.73735195770877726</v>
      </c>
      <c r="F7" s="39">
        <f>1/(1+Assumptions!$C$5)^F5</f>
        <v>0.66614143798787362</v>
      </c>
      <c r="G7" s="39">
        <f>1/(1+Assumptions!$C$5)^G5</f>
        <v>0.60180814706646824</v>
      </c>
      <c r="H7" s="39">
        <f>1/(1+Assumptions!$C$5)^H5</f>
        <v>0.54368790953696644</v>
      </c>
      <c r="I7" s="39">
        <f>1/(1+Assumptions!$C$5)^I5</f>
        <v>0.49118069341129861</v>
      </c>
      <c r="J7" s="39">
        <f>1/(1+Assumptions!$C$5)^J5</f>
        <v>0.44374441540455206</v>
      </c>
      <c r="K7" s="39">
        <f>1/(1+Assumptions!$C$5)^K5</f>
        <v>0.40088934447967484</v>
      </c>
      <c r="L7" s="39">
        <f>1/(1+Assumptions!$C$5)^L5</f>
        <v>0.36217304587557575</v>
      </c>
    </row>
    <row r="8" spans="2:12" ht="15" customHeight="1" x14ac:dyDescent="0.45">
      <c r="B8" t="s">
        <v>125</v>
      </c>
      <c r="C8" s="31">
        <f t="shared" ref="C8:L8" si="0">C6*C7</f>
        <v>105.65254255126932</v>
      </c>
      <c r="D8" s="31">
        <f t="shared" si="0"/>
        <v>92.121854519137074</v>
      </c>
      <c r="E8" s="31">
        <f t="shared" si="0"/>
        <v>93.472961420882314</v>
      </c>
      <c r="F8" s="31">
        <f t="shared" si="0"/>
        <v>92.227069535137545</v>
      </c>
      <c r="G8" s="31">
        <f t="shared" si="0"/>
        <v>90.810201812613059</v>
      </c>
      <c r="H8" s="31">
        <f t="shared" si="0"/>
        <v>85.480657234039271</v>
      </c>
      <c r="I8" s="31">
        <f t="shared" si="0"/>
        <v>73.795653954520731</v>
      </c>
      <c r="J8" s="31">
        <f t="shared" si="0"/>
        <v>73.963509415048847</v>
      </c>
      <c r="K8" s="31">
        <f t="shared" si="0"/>
        <v>69.263940948521324</v>
      </c>
      <c r="L8" s="31">
        <f t="shared" si="0"/>
        <v>64.902005052304091</v>
      </c>
    </row>
    <row r="10" spans="2:12" ht="15" customHeight="1" x14ac:dyDescent="0.45">
      <c r="B10" s="5" t="s">
        <v>126</v>
      </c>
      <c r="C10" s="6"/>
      <c r="D10" s="6"/>
    </row>
    <row r="11" spans="2:12" ht="15" customHeight="1" x14ac:dyDescent="0.45">
      <c r="B11" s="7" t="s">
        <v>127</v>
      </c>
      <c r="C11" s="31">
        <f>SUM(C8:L8)</f>
        <v>841.69039644347356</v>
      </c>
    </row>
    <row r="12" spans="2:12" ht="15" customHeight="1" x14ac:dyDescent="0.45">
      <c r="B12" s="7" t="s">
        <v>128</v>
      </c>
      <c r="C12" s="31">
        <f>Model!L31</f>
        <v>325.82117000000005</v>
      </c>
    </row>
    <row r="13" spans="2:12" ht="15" customHeight="1" x14ac:dyDescent="0.45">
      <c r="B13" s="7" t="s">
        <v>129</v>
      </c>
      <c r="C13" s="31">
        <f>Assumptions!C96*Model!L31-Assumptions!C99</f>
        <v>3940.7646250000007</v>
      </c>
    </row>
    <row r="14" spans="2:12" ht="15" customHeight="1" x14ac:dyDescent="0.45">
      <c r="B14" s="7" t="s">
        <v>130</v>
      </c>
      <c r="C14" s="31">
        <f>L6*(1+Assumptions!$C$6)/(Assumptions!$C$5-Assumptions!$C$6)</f>
        <v>2319.0137115396733</v>
      </c>
    </row>
    <row r="15" spans="2:12" ht="15" customHeight="1" x14ac:dyDescent="0.45">
      <c r="B15" s="19" t="s">
        <v>131</v>
      </c>
      <c r="C15" s="36">
        <f>Assumptions!C97*C13+Assumptions!C98*C14</f>
        <v>3373.151805288886</v>
      </c>
    </row>
    <row r="16" spans="2:12" ht="15" customHeight="1" x14ac:dyDescent="0.45">
      <c r="B16" s="7" t="s">
        <v>132</v>
      </c>
      <c r="C16" s="31">
        <f>C15*L7</f>
        <v>1221.6646635221728</v>
      </c>
    </row>
    <row r="17" spans="2:7" ht="15" customHeight="1" x14ac:dyDescent="0.45">
      <c r="B17" s="7" t="s">
        <v>133</v>
      </c>
      <c r="C17" s="31">
        <f>C11+C16</f>
        <v>2063.3550599656464</v>
      </c>
    </row>
    <row r="18" spans="2:7" ht="15" customHeight="1" x14ac:dyDescent="0.45">
      <c r="B18" s="7" t="s">
        <v>134</v>
      </c>
      <c r="C18" s="40">
        <f>-Assumptions!$C$8</f>
        <v>-100</v>
      </c>
    </row>
    <row r="19" spans="2:7" ht="15" customHeight="1" x14ac:dyDescent="0.45">
      <c r="B19" s="19" t="s">
        <v>135</v>
      </c>
      <c r="C19" s="36">
        <f>C17+C18</f>
        <v>1963.3550599656464</v>
      </c>
    </row>
    <row r="20" spans="2:7" ht="15" customHeight="1" x14ac:dyDescent="0.45">
      <c r="B20" s="41" t="s">
        <v>136</v>
      </c>
      <c r="C20" s="42">
        <f>Assumptions!$C$7</f>
        <v>56.6</v>
      </c>
      <c r="D20" s="6"/>
    </row>
    <row r="21" spans="2:7" ht="15" customHeight="1" x14ac:dyDescent="0.45">
      <c r="B21" s="19" t="s">
        <v>137</v>
      </c>
      <c r="C21" s="43">
        <f>C19/C20</f>
        <v>34.688251942855942</v>
      </c>
    </row>
    <row r="22" spans="2:7" ht="15" customHeight="1" x14ac:dyDescent="0.45">
      <c r="B22" s="7"/>
      <c r="C22" s="15"/>
    </row>
    <row r="23" spans="2:7" ht="15" customHeight="1" x14ac:dyDescent="0.45">
      <c r="B23" s="5" t="s">
        <v>138</v>
      </c>
      <c r="C23" s="44"/>
      <c r="D23" s="6"/>
    </row>
    <row r="24" spans="2:7" ht="15" customHeight="1" x14ac:dyDescent="0.45">
      <c r="B24" s="7" t="s">
        <v>12</v>
      </c>
      <c r="C24" s="16">
        <f>Assumptions!$C$9</f>
        <v>44</v>
      </c>
      <c r="D24" s="4" t="s">
        <v>139</v>
      </c>
    </row>
    <row r="25" spans="2:7" ht="15" customHeight="1" x14ac:dyDescent="0.45">
      <c r="B25" s="7" t="s">
        <v>140</v>
      </c>
      <c r="C25" s="45">
        <f>C21/C24-1</f>
        <v>-0.21163063766236501</v>
      </c>
    </row>
    <row r="26" spans="2:7" ht="15" customHeight="1" x14ac:dyDescent="0.45">
      <c r="B26" s="7" t="s">
        <v>14</v>
      </c>
      <c r="C26" s="16">
        <f>Assumptions!$C$10</f>
        <v>47</v>
      </c>
      <c r="D26" s="4"/>
    </row>
    <row r="27" spans="2:7" ht="15" customHeight="1" x14ac:dyDescent="0.45">
      <c r="B27" t="s">
        <v>141</v>
      </c>
      <c r="C27" s="46">
        <f>C21/C26-1</f>
        <v>-0.26195208632221401</v>
      </c>
      <c r="D27" s="4"/>
    </row>
    <row r="28" spans="2:7" ht="15" customHeight="1" x14ac:dyDescent="0.45">
      <c r="B28" s="7" t="s">
        <v>142</v>
      </c>
      <c r="C28" s="46">
        <f>C16/C17</f>
        <v>0.59207680114081418</v>
      </c>
      <c r="D28" s="4"/>
    </row>
    <row r="29" spans="2:7" ht="15" customHeight="1" x14ac:dyDescent="0.45">
      <c r="B29" s="41" t="s">
        <v>143</v>
      </c>
      <c r="C29" s="47">
        <f>(C15)/Model!L31</f>
        <v>10.352770525281969</v>
      </c>
      <c r="D29" s="6"/>
      <c r="E29" s="6"/>
      <c r="F29" s="6"/>
      <c r="G29" s="6"/>
    </row>
    <row r="30" spans="2:7" ht="15" customHeight="1" x14ac:dyDescent="0.45">
      <c r="B30" s="5" t="s">
        <v>144</v>
      </c>
      <c r="C30" s="48"/>
      <c r="D30" s="48"/>
      <c r="E30" s="48"/>
      <c r="F30" s="48"/>
      <c r="G30" s="48"/>
    </row>
    <row r="31" spans="2:7" ht="15" customHeight="1" x14ac:dyDescent="0.45">
      <c r="B31" s="49" t="s">
        <v>145</v>
      </c>
      <c r="C31" s="50">
        <f>Assumptions!$C$96+(-2)</f>
        <v>10.5</v>
      </c>
      <c r="D31" s="50">
        <f>Assumptions!$C$96+(-1)</f>
        <v>11.5</v>
      </c>
      <c r="E31" s="50">
        <f>Assumptions!$C$96+(0)</f>
        <v>12.5</v>
      </c>
      <c r="F31" s="50">
        <f>Assumptions!$C$96+(1)</f>
        <v>13.5</v>
      </c>
      <c r="G31" s="50">
        <f>Assumptions!$C$96+(2)</f>
        <v>14.5</v>
      </c>
    </row>
    <row r="32" spans="2:7" ht="15" customHeight="1" x14ac:dyDescent="0.45">
      <c r="B32" s="51">
        <f>Assumptions!$C$5+(-0.01)</f>
        <v>9.69E-2</v>
      </c>
      <c r="C32" s="52">
        <f>(SUMPRODUCT($C$6:$L$6,1/(1+$B32)^$C$5:$L$5)+(Assumptions!$C$97*(C$31*Model!$L$31-Assumptions!$C$99)+Assumptions!$C$98*($L$6*(1+Assumptions!$C$6)/($B32-Assumptions!$C$6)))/(1+$B32)^$L$5-Assumptions!$C$8)/Assumptions!$C$7</f>
        <v>35.299005605841479</v>
      </c>
      <c r="D32" s="52">
        <f>(SUMPRODUCT($C$6:$L$6,1/(1+$B32)^$C$5:$L$5)+(Assumptions!$C$97*(D$31*Model!$L$31-Assumptions!$C$99)+Assumptions!$C$98*($L$6*(1+Assumptions!$C$6)/($B32-Assumptions!$C$6)))/(1+$B32)^$L$5-Assumptions!$C$8)/Assumptions!$C$7</f>
        <v>36.782909790279646</v>
      </c>
      <c r="E32" s="52">
        <f>(SUMPRODUCT($C$6:$L$6,1/(1+$B32)^$C$5:$L$5)+(Assumptions!$C$97*(E$31*Model!$L$31-Assumptions!$C$99)+Assumptions!$C$98*($L$6*(1+Assumptions!$C$6)/($B32-Assumptions!$C$6)))/(1+$B32)^$L$5-Assumptions!$C$8)/Assumptions!$C$7</f>
        <v>38.266813974717806</v>
      </c>
      <c r="F32" s="52">
        <f>(SUMPRODUCT($C$6:$L$6,1/(1+$B32)^$C$5:$L$5)+(Assumptions!$C$97*(F$31*Model!$L$31-Assumptions!$C$99)+Assumptions!$C$98*($L$6*(1+Assumptions!$C$6)/($B32-Assumptions!$C$6)))/(1+$B32)^$L$5-Assumptions!$C$8)/Assumptions!$C$7</f>
        <v>39.750718159155973</v>
      </c>
      <c r="G32" s="52">
        <f>(SUMPRODUCT($C$6:$L$6,1/(1+$B32)^$C$5:$L$5)+(Assumptions!$C$97*(G$31*Model!$L$31-Assumptions!$C$99)+Assumptions!$C$98*($L$6*(1+Assumptions!$C$6)/($B32-Assumptions!$C$6)))/(1+$B32)^$L$5-Assumptions!$C$8)/Assumptions!$C$7</f>
        <v>41.234622343594133</v>
      </c>
    </row>
    <row r="33" spans="2:7" ht="15" customHeight="1" x14ac:dyDescent="0.45">
      <c r="B33" s="51">
        <f>Assumptions!$C$5+(-0.005)</f>
        <v>0.10189999999999999</v>
      </c>
      <c r="C33" s="52">
        <f>(SUMPRODUCT($C$6:$L$6,1/(1+$B33)^$C$5:$L$5)+(Assumptions!$C$97*(C$31*Model!$L$31-Assumptions!$C$99)+Assumptions!$C$98*($L$6*(1+Assumptions!$C$6)/($B33-Assumptions!$C$6)))/(1+$B33)^$L$5-Assumptions!$C$8)/Assumptions!$C$7</f>
        <v>33.565378267595662</v>
      </c>
      <c r="D33" s="52">
        <f>(SUMPRODUCT($C$6:$L$6,1/(1+$B33)^$C$5:$L$5)+(Assumptions!$C$97*(D$31*Model!$L$31-Assumptions!$C$99)+Assumptions!$C$98*($L$6*(1+Assumptions!$C$6)/($B33-Assumptions!$C$6)))/(1+$B33)^$L$5-Assumptions!$C$8)/Assumptions!$C$7</f>
        <v>34.983306969574414</v>
      </c>
      <c r="E33" s="52">
        <f>(SUMPRODUCT($C$6:$L$6,1/(1+$B33)^$C$5:$L$5)+(Assumptions!$C$97*(E$31*Model!$L$31-Assumptions!$C$99)+Assumptions!$C$98*($L$6*(1+Assumptions!$C$6)/($B33-Assumptions!$C$6)))/(1+$B33)^$L$5-Assumptions!$C$8)/Assumptions!$C$7</f>
        <v>36.401235671553167</v>
      </c>
      <c r="F33" s="52">
        <f>(SUMPRODUCT($C$6:$L$6,1/(1+$B33)^$C$5:$L$5)+(Assumptions!$C$97*(F$31*Model!$L$31-Assumptions!$C$99)+Assumptions!$C$98*($L$6*(1+Assumptions!$C$6)/($B33-Assumptions!$C$6)))/(1+$B33)^$L$5-Assumptions!$C$8)/Assumptions!$C$7</f>
        <v>37.819164373531905</v>
      </c>
      <c r="G33" s="52">
        <f>(SUMPRODUCT($C$6:$L$6,1/(1+$B33)^$C$5:$L$5)+(Assumptions!$C$97*(G$31*Model!$L$31-Assumptions!$C$99)+Assumptions!$C$98*($L$6*(1+Assumptions!$C$6)/($B33-Assumptions!$C$6)))/(1+$B33)^$L$5-Assumptions!$C$8)/Assumptions!$C$7</f>
        <v>39.237093075510657</v>
      </c>
    </row>
    <row r="34" spans="2:7" ht="15" customHeight="1" x14ac:dyDescent="0.45">
      <c r="B34" s="51">
        <f>Assumptions!$C$5+(0)</f>
        <v>0.1069</v>
      </c>
      <c r="C34" s="52">
        <f>(SUMPRODUCT($C$6:$L$6,1/(1+$B34)^$C$5:$L$5)+(Assumptions!$C$97*(C$31*Model!$L$31-Assumptions!$C$99)+Assumptions!$C$98*($L$6*(1+Assumptions!$C$6)/($B34-Assumptions!$C$6)))/(1+$B34)^$L$5-Assumptions!$C$8)/Assumptions!$C$7</f>
        <v>31.977920861327025</v>
      </c>
      <c r="D34" s="52">
        <f>(SUMPRODUCT($C$6:$L$6,1/(1+$B34)^$C$5:$L$5)+(Assumptions!$C$97*(D$31*Model!$L$31-Assumptions!$C$99)+Assumptions!$C$98*($L$6*(1+Assumptions!$C$6)/($B34-Assumptions!$C$6)))/(1+$B34)^$L$5-Assumptions!$C$8)/Assumptions!$C$7</f>
        <v>33.333086402091482</v>
      </c>
      <c r="E34" s="53">
        <f>(SUMPRODUCT($C$6:$L$6,1/(1+$B34)^$C$5:$L$5)+(Assumptions!$C$97*(E$31*Model!$L$31-Assumptions!$C$99)+Assumptions!$C$98*($L$6*(1+Assumptions!$C$6)/($B34-Assumptions!$C$6)))/(1+$B34)^$L$5-Assumptions!$C$8)/Assumptions!$C$7</f>
        <v>34.688251942855942</v>
      </c>
      <c r="F34" s="52">
        <f>(SUMPRODUCT($C$6:$L$6,1/(1+$B34)^$C$5:$L$5)+(Assumptions!$C$97*(F$31*Model!$L$31-Assumptions!$C$99)+Assumptions!$C$98*($L$6*(1+Assumptions!$C$6)/($B34-Assumptions!$C$6)))/(1+$B34)^$L$5-Assumptions!$C$8)/Assumptions!$C$7</f>
        <v>36.043417483620409</v>
      </c>
      <c r="G34" s="52">
        <f>(SUMPRODUCT($C$6:$L$6,1/(1+$B34)^$C$5:$L$5)+(Assumptions!$C$97*(G$31*Model!$L$31-Assumptions!$C$99)+Assumptions!$C$98*($L$6*(1+Assumptions!$C$6)/($B34-Assumptions!$C$6)))/(1+$B34)^$L$5-Assumptions!$C$8)/Assumptions!$C$7</f>
        <v>37.39858302438487</v>
      </c>
    </row>
    <row r="35" spans="2:7" ht="15" customHeight="1" x14ac:dyDescent="0.45">
      <c r="B35" s="51">
        <f>Assumptions!$C$5+(0.005)</f>
        <v>0.1119</v>
      </c>
      <c r="C35" s="52">
        <f>(SUMPRODUCT($C$6:$L$6,1/(1+$B35)^$C$5:$L$5)+(Assumptions!$C$97*(C$31*Model!$L$31-Assumptions!$C$99)+Assumptions!$C$98*($L$6*(1+Assumptions!$C$6)/($B35-Assumptions!$C$6)))/(1+$B35)^$L$5-Assumptions!$C$8)/Assumptions!$C$7</f>
        <v>30.515769576740258</v>
      </c>
      <c r="D35" s="52">
        <f>(SUMPRODUCT($C$6:$L$6,1/(1+$B35)^$C$5:$L$5)+(Assumptions!$C$97*(D$31*Model!$L$31-Assumptions!$C$99)+Assumptions!$C$98*($L$6*(1+Assumptions!$C$6)/($B35-Assumptions!$C$6)))/(1+$B35)^$L$5-Assumptions!$C$8)/Assumptions!$C$7</f>
        <v>31.811214406429425</v>
      </c>
      <c r="E35" s="52">
        <f>(SUMPRODUCT($C$6:$L$6,1/(1+$B35)^$C$5:$L$5)+(Assumptions!$C$97*(E$31*Model!$L$31-Assumptions!$C$99)+Assumptions!$C$98*($L$6*(1+Assumptions!$C$6)/($B35-Assumptions!$C$6)))/(1+$B35)^$L$5-Assumptions!$C$8)/Assumptions!$C$7</f>
        <v>33.106659236118595</v>
      </c>
      <c r="F35" s="52">
        <f>(SUMPRODUCT($C$6:$L$6,1/(1+$B35)^$C$5:$L$5)+(Assumptions!$C$97*(F$31*Model!$L$31-Assumptions!$C$99)+Assumptions!$C$98*($L$6*(1+Assumptions!$C$6)/($B35-Assumptions!$C$6)))/(1+$B35)^$L$5-Assumptions!$C$8)/Assumptions!$C$7</f>
        <v>34.402104065807762</v>
      </c>
      <c r="G35" s="52">
        <f>(SUMPRODUCT($C$6:$L$6,1/(1+$B35)^$C$5:$L$5)+(Assumptions!$C$97*(G$31*Model!$L$31-Assumptions!$C$99)+Assumptions!$C$98*($L$6*(1+Assumptions!$C$6)/($B35-Assumptions!$C$6)))/(1+$B35)^$L$5-Assumptions!$C$8)/Assumptions!$C$7</f>
        <v>35.697548895496944</v>
      </c>
    </row>
    <row r="36" spans="2:7" ht="15" customHeight="1" x14ac:dyDescent="0.45">
      <c r="B36" s="51">
        <f>Assumptions!$C$5+(0.01)</f>
        <v>0.11689999999999999</v>
      </c>
      <c r="C36" s="52">
        <f>(SUMPRODUCT($C$6:$L$6,1/(1+$B36)^$C$5:$L$5)+(Assumptions!$C$97*(C$31*Model!$L$31-Assumptions!$C$99)+Assumptions!$C$98*($L$6*(1+Assumptions!$C$6)/($B36-Assumptions!$C$6)))/(1+$B36)^$L$5-Assumptions!$C$8)/Assumptions!$C$7</f>
        <v>29.162383957488643</v>
      </c>
      <c r="D36" s="52">
        <f>(SUMPRODUCT($C$6:$L$6,1/(1+$B36)^$C$5:$L$5)+(Assumptions!$C$97*(D$31*Model!$L$31-Assumptions!$C$99)+Assumptions!$C$98*($L$6*(1+Assumptions!$C$6)/($B36-Assumptions!$C$6)))/(1+$B36)^$L$5-Assumptions!$C$8)/Assumptions!$C$7</f>
        <v>30.400990343852435</v>
      </c>
      <c r="E36" s="52">
        <f>(SUMPRODUCT($C$6:$L$6,1/(1+$B36)^$C$5:$L$5)+(Assumptions!$C$97*(E$31*Model!$L$31-Assumptions!$C$99)+Assumptions!$C$98*($L$6*(1+Assumptions!$C$6)/($B36-Assumptions!$C$6)))/(1+$B36)^$L$5-Assumptions!$C$8)/Assumptions!$C$7</f>
        <v>31.639596730216226</v>
      </c>
      <c r="F36" s="52">
        <f>(SUMPRODUCT($C$6:$L$6,1/(1+$B36)^$C$5:$L$5)+(Assumptions!$C$97*(F$31*Model!$L$31-Assumptions!$C$99)+Assumptions!$C$98*($L$6*(1+Assumptions!$C$6)/($B36-Assumptions!$C$6)))/(1+$B36)^$L$5-Assumptions!$C$8)/Assumptions!$C$7</f>
        <v>32.878203116580011</v>
      </c>
      <c r="G36" s="52">
        <f>(SUMPRODUCT($C$6:$L$6,1/(1+$B36)^$C$5:$L$5)+(Assumptions!$C$97*(G$31*Model!$L$31-Assumptions!$C$99)+Assumptions!$C$98*($L$6*(1+Assumptions!$C$6)/($B36-Assumptions!$C$6)))/(1+$B36)^$L$5-Assumptions!$C$8)/Assumptions!$C$7</f>
        <v>34.116809502943795</v>
      </c>
    </row>
    <row r="37" spans="2:7" x14ac:dyDescent="0.45">
      <c r="B37" s="4" t="s">
        <v>146</v>
      </c>
    </row>
    <row r="38" spans="2:7" ht="15" customHeight="1" x14ac:dyDescent="0.45">
      <c r="B38" s="4"/>
    </row>
    <row r="39" spans="2:7" ht="15" customHeight="1" x14ac:dyDescent="0.45">
      <c r="B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E29"/>
  <sheetViews>
    <sheetView zoomScaleNormal="100" workbookViewId="0"/>
  </sheetViews>
  <sheetFormatPr defaultColWidth="8.6640625" defaultRowHeight="14.25" x14ac:dyDescent="0.45"/>
  <cols>
    <col min="1" max="1" width="3" customWidth="1"/>
    <col min="2" max="2" width="40" customWidth="1"/>
    <col min="3" max="8" width="13" customWidth="1"/>
  </cols>
  <sheetData>
    <row r="1" spans="2:4" ht="15.75" customHeight="1" x14ac:dyDescent="0.5">
      <c r="B1" s="3" t="s">
        <v>147</v>
      </c>
    </row>
    <row r="2" spans="2:4" ht="15" customHeight="1" x14ac:dyDescent="0.45">
      <c r="B2" s="4" t="s">
        <v>148</v>
      </c>
    </row>
    <row r="4" spans="2:4" ht="15" customHeight="1" x14ac:dyDescent="0.45">
      <c r="B4" s="5" t="s">
        <v>149</v>
      </c>
      <c r="C4" s="6"/>
      <c r="D4" s="6"/>
    </row>
    <row r="5" spans="2:4" ht="15" customHeight="1" x14ac:dyDescent="0.45">
      <c r="B5" s="7" t="s">
        <v>150</v>
      </c>
      <c r="C5" s="33">
        <v>132</v>
      </c>
    </row>
    <row r="6" spans="2:4" ht="15" customHeight="1" x14ac:dyDescent="0.45">
      <c r="B6" s="7" t="s">
        <v>151</v>
      </c>
      <c r="C6" s="31">
        <f>Assumptions!C8</f>
        <v>100</v>
      </c>
    </row>
    <row r="7" spans="2:4" ht="15" customHeight="1" x14ac:dyDescent="0.45">
      <c r="B7" s="7" t="s">
        <v>136</v>
      </c>
      <c r="C7" s="54">
        <f>Assumptions!C7</f>
        <v>56.6</v>
      </c>
    </row>
    <row r="8" spans="2:4" ht="15" customHeight="1" x14ac:dyDescent="0.45">
      <c r="B8" s="7" t="s">
        <v>152</v>
      </c>
      <c r="C8" s="16">
        <f>Assumptions!C9</f>
        <v>44</v>
      </c>
    </row>
    <row r="10" spans="2:4" ht="15" customHeight="1" x14ac:dyDescent="0.45">
      <c r="B10" s="5" t="s">
        <v>153</v>
      </c>
      <c r="C10" s="6"/>
      <c r="D10" s="5" t="s">
        <v>154</v>
      </c>
    </row>
    <row r="11" spans="2:4" ht="15" customHeight="1" x14ac:dyDescent="0.45">
      <c r="B11" s="7" t="s">
        <v>155</v>
      </c>
      <c r="C11" s="38">
        <f>Model!C31</f>
        <v>233.89359870000001</v>
      </c>
      <c r="D11" s="4" t="s">
        <v>156</v>
      </c>
    </row>
    <row r="12" spans="2:4" ht="15" customHeight="1" x14ac:dyDescent="0.45">
      <c r="B12" s="7" t="s">
        <v>157</v>
      </c>
      <c r="C12" s="38">
        <f>Model!D31</f>
        <v>221.314195375</v>
      </c>
      <c r="D12" s="4" t="s">
        <v>158</v>
      </c>
    </row>
    <row r="13" spans="2:4" ht="15" customHeight="1" x14ac:dyDescent="0.45">
      <c r="B13" s="7" t="s">
        <v>159</v>
      </c>
      <c r="C13" s="33">
        <v>195</v>
      </c>
      <c r="D13" s="4" t="s">
        <v>160</v>
      </c>
    </row>
    <row r="15" spans="2:4" ht="15" customHeight="1" x14ac:dyDescent="0.45">
      <c r="B15" s="5" t="s">
        <v>161</v>
      </c>
      <c r="C15" s="5" t="s">
        <v>162</v>
      </c>
      <c r="D15" s="5" t="s">
        <v>17</v>
      </c>
    </row>
    <row r="16" spans="2:4" ht="15" customHeight="1" x14ac:dyDescent="0.45">
      <c r="B16" s="7" t="s">
        <v>163</v>
      </c>
      <c r="C16" s="26" t="s">
        <v>164</v>
      </c>
      <c r="D16" s="4" t="s">
        <v>165</v>
      </c>
    </row>
    <row r="17" spans="2:5" ht="15" customHeight="1" x14ac:dyDescent="0.45">
      <c r="B17" s="7" t="s">
        <v>166</v>
      </c>
      <c r="C17" s="26" t="s">
        <v>167</v>
      </c>
      <c r="D17" s="4" t="s">
        <v>168</v>
      </c>
    </row>
    <row r="18" spans="2:5" ht="15" customHeight="1" x14ac:dyDescent="0.45">
      <c r="B18" s="7" t="s">
        <v>169</v>
      </c>
      <c r="C18" s="26" t="s">
        <v>170</v>
      </c>
      <c r="D18" s="4" t="s">
        <v>171</v>
      </c>
    </row>
    <row r="19" spans="2:5" ht="15" customHeight="1" x14ac:dyDescent="0.45">
      <c r="B19" s="7" t="s">
        <v>172</v>
      </c>
      <c r="C19" s="26" t="s">
        <v>173</v>
      </c>
      <c r="D19" s="4" t="s">
        <v>174</v>
      </c>
    </row>
    <row r="20" spans="2:5" ht="15" customHeight="1" x14ac:dyDescent="0.45">
      <c r="B20" s="7" t="s">
        <v>175</v>
      </c>
      <c r="C20" s="26" t="s">
        <v>176</v>
      </c>
      <c r="D20" s="4" t="s">
        <v>177</v>
      </c>
    </row>
    <row r="21" spans="2:5" ht="15" customHeight="1" x14ac:dyDescent="0.45">
      <c r="B21" s="7" t="s">
        <v>178</v>
      </c>
      <c r="C21" s="26" t="s">
        <v>179</v>
      </c>
      <c r="D21" s="4" t="s">
        <v>180</v>
      </c>
    </row>
    <row r="23" spans="2:5" ht="15" customHeight="1" x14ac:dyDescent="0.45">
      <c r="B23" s="5" t="s">
        <v>181</v>
      </c>
      <c r="C23" s="55">
        <v>11</v>
      </c>
      <c r="D23" s="55">
        <v>12.5</v>
      </c>
      <c r="E23" s="55">
        <v>14.5</v>
      </c>
    </row>
    <row r="24" spans="2:5" ht="15" customHeight="1" x14ac:dyDescent="0.45">
      <c r="B24" s="7" t="s">
        <v>182</v>
      </c>
      <c r="C24" s="56">
        <f>(C$23*C11-C5-C6)/C7</f>
        <v>41.357413174911663</v>
      </c>
      <c r="D24" s="56">
        <f>(D$23*C11-C5-C6)/C7</f>
        <v>47.556006780035332</v>
      </c>
      <c r="E24" s="56">
        <f>(E$23*C11-C5-C6)/C7</f>
        <v>55.820798253533567</v>
      </c>
    </row>
    <row r="25" spans="2:5" ht="15" customHeight="1" x14ac:dyDescent="0.45">
      <c r="B25" s="7" t="s">
        <v>183</v>
      </c>
      <c r="C25" s="57">
        <f>(C$23*C12-C5-C6)/C7</f>
        <v>38.912652811395759</v>
      </c>
      <c r="D25" s="57">
        <f>(D$23*C12-C5-C6)/C7</f>
        <v>44.777870003312714</v>
      </c>
      <c r="E25" s="57">
        <f>(E$23*C12-C5-C6)/C7</f>
        <v>52.598159592535332</v>
      </c>
    </row>
    <row r="26" spans="2:5" ht="15" customHeight="1" x14ac:dyDescent="0.45">
      <c r="B26" s="7" t="s">
        <v>184</v>
      </c>
      <c r="C26" s="57">
        <f>(C$23*C13-C5-C6)/C7</f>
        <v>33.798586572438161</v>
      </c>
      <c r="D26" s="57">
        <f>(D$23*C13-C5-C6)/C7</f>
        <v>38.966431095406357</v>
      </c>
      <c r="E26" s="57">
        <f>(E$23*C13-C5-C6)/C7</f>
        <v>45.856890459363953</v>
      </c>
    </row>
    <row r="28" spans="2:5" ht="15" customHeight="1" x14ac:dyDescent="0.45">
      <c r="B28" s="4" t="s">
        <v>185</v>
      </c>
    </row>
    <row r="29" spans="2:5" ht="15" customHeight="1" x14ac:dyDescent="0.45">
      <c r="B29" s="4" t="s">
        <v>186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F23"/>
  <sheetViews>
    <sheetView zoomScaleNormal="100" workbookViewId="0"/>
  </sheetViews>
  <sheetFormatPr defaultColWidth="8.6640625" defaultRowHeight="14.25" x14ac:dyDescent="0.45"/>
  <cols>
    <col min="1" max="1" width="3" customWidth="1"/>
    <col min="2" max="2" width="42" customWidth="1"/>
    <col min="3" max="6" width="14" customWidth="1"/>
  </cols>
  <sheetData>
    <row r="1" spans="2:6" ht="15.75" customHeight="1" x14ac:dyDescent="0.5">
      <c r="B1" s="3" t="s">
        <v>187</v>
      </c>
    </row>
    <row r="2" spans="2:6" ht="15" customHeight="1" x14ac:dyDescent="0.45">
      <c r="B2" s="4" t="s">
        <v>188</v>
      </c>
    </row>
    <row r="4" spans="2:6" ht="15" customHeight="1" x14ac:dyDescent="0.45">
      <c r="B4" s="5" t="s">
        <v>189</v>
      </c>
      <c r="C4" s="6"/>
      <c r="D4" s="6"/>
    </row>
    <row r="5" spans="2:6" ht="15" customHeight="1" x14ac:dyDescent="0.45">
      <c r="B5" s="2" t="s">
        <v>190</v>
      </c>
      <c r="C5" s="2"/>
      <c r="D5" s="2"/>
      <c r="E5" s="2"/>
      <c r="F5" s="2"/>
    </row>
    <row r="6" spans="2:6" ht="15" customHeight="1" x14ac:dyDescent="0.45">
      <c r="B6" s="2" t="s">
        <v>191</v>
      </c>
      <c r="C6" s="2"/>
      <c r="D6" s="2"/>
      <c r="E6" s="2"/>
      <c r="F6" s="2"/>
    </row>
    <row r="7" spans="2:6" ht="15" customHeight="1" x14ac:dyDescent="0.45">
      <c r="B7" s="2" t="s">
        <v>192</v>
      </c>
      <c r="C7" s="2"/>
      <c r="D7" s="2"/>
      <c r="E7" s="2"/>
      <c r="F7" s="2"/>
    </row>
    <row r="8" spans="2:6" ht="15" customHeight="1" x14ac:dyDescent="0.45">
      <c r="B8" s="2" t="s">
        <v>193</v>
      </c>
      <c r="C8" s="2"/>
      <c r="D8" s="2"/>
      <c r="E8" s="2"/>
      <c r="F8" s="2"/>
    </row>
    <row r="9" spans="2:6" ht="15" customHeight="1" x14ac:dyDescent="0.45">
      <c r="B9" s="2" t="s">
        <v>194</v>
      </c>
      <c r="C9" s="2"/>
      <c r="D9" s="2"/>
      <c r="E9" s="2"/>
      <c r="F9" s="2"/>
    </row>
    <row r="11" spans="2:6" ht="15" customHeight="1" x14ac:dyDescent="0.45">
      <c r="B11" s="5" t="s">
        <v>195</v>
      </c>
      <c r="C11" s="6"/>
      <c r="D11" s="6"/>
    </row>
    <row r="12" spans="2:6" ht="15" customHeight="1" x14ac:dyDescent="0.45">
      <c r="B12" s="7" t="s">
        <v>196</v>
      </c>
      <c r="C12" s="58">
        <v>38</v>
      </c>
      <c r="D12" s="4" t="s">
        <v>197</v>
      </c>
    </row>
    <row r="13" spans="2:6" ht="15" customHeight="1" x14ac:dyDescent="0.45">
      <c r="B13" s="19" t="s">
        <v>198</v>
      </c>
      <c r="C13" s="59" t="s">
        <v>199</v>
      </c>
      <c r="D13" s="59" t="s">
        <v>200</v>
      </c>
      <c r="E13" s="59" t="s">
        <v>201</v>
      </c>
    </row>
    <row r="14" spans="2:6" ht="15" customHeight="1" x14ac:dyDescent="0.45">
      <c r="B14" s="7" t="s">
        <v>202</v>
      </c>
      <c r="C14" s="60">
        <v>0.25</v>
      </c>
      <c r="D14" s="60">
        <v>0.35</v>
      </c>
      <c r="E14" s="60">
        <v>0.45</v>
      </c>
    </row>
    <row r="15" spans="2:6" ht="15" customHeight="1" x14ac:dyDescent="0.45">
      <c r="B15" s="19" t="s">
        <v>203</v>
      </c>
      <c r="C15" s="61">
        <f>C12*(1+C14)</f>
        <v>47.5</v>
      </c>
      <c r="D15" s="61">
        <f>C12*(1+D14)</f>
        <v>51.300000000000004</v>
      </c>
      <c r="E15" s="61">
        <f>C12*(1+E14)</f>
        <v>55.1</v>
      </c>
    </row>
    <row r="17" spans="2:6" ht="15" customHeight="1" x14ac:dyDescent="0.45">
      <c r="B17" s="5" t="s">
        <v>204</v>
      </c>
      <c r="C17" s="6"/>
      <c r="D17" s="6"/>
    </row>
    <row r="18" spans="2:6" ht="15" customHeight="1" x14ac:dyDescent="0.45">
      <c r="B18" s="7" t="s">
        <v>205</v>
      </c>
      <c r="C18" s="38">
        <f>Model!C31</f>
        <v>233.89359870000001</v>
      </c>
    </row>
    <row r="19" spans="2:6" ht="15" customHeight="1" x14ac:dyDescent="0.45">
      <c r="B19" s="19" t="s">
        <v>206</v>
      </c>
      <c r="C19" s="59" t="s">
        <v>207</v>
      </c>
      <c r="D19" s="59" t="s">
        <v>208</v>
      </c>
      <c r="E19" s="59" t="s">
        <v>209</v>
      </c>
    </row>
    <row r="20" spans="2:6" ht="15" customHeight="1" x14ac:dyDescent="0.45">
      <c r="B20" s="7" t="s">
        <v>210</v>
      </c>
      <c r="C20" s="62">
        <v>14</v>
      </c>
      <c r="D20" s="62">
        <v>16</v>
      </c>
      <c r="E20" s="62">
        <v>18</v>
      </c>
    </row>
    <row r="21" spans="2:6" ht="15" customHeight="1" x14ac:dyDescent="0.45">
      <c r="B21" s="19" t="s">
        <v>203</v>
      </c>
      <c r="C21" s="63">
        <f>(C20*C18-132-Assumptions!C8)/Assumptions!C7</f>
        <v>53.754600385159016</v>
      </c>
      <c r="D21" s="63">
        <f>(D20*C18-132-Assumptions!C8)/Assumptions!C7</f>
        <v>62.019391858657244</v>
      </c>
      <c r="E21" s="63">
        <f>(E20*C18-132-Assumptions!C8)/Assumptions!C7</f>
        <v>70.284183332155493</v>
      </c>
    </row>
    <row r="22" spans="2:6" ht="15" customHeight="1" x14ac:dyDescent="0.45">
      <c r="B22" s="1" t="s">
        <v>211</v>
      </c>
      <c r="C22" s="1"/>
      <c r="D22" s="1"/>
      <c r="E22" s="1"/>
      <c r="F22" s="1"/>
    </row>
    <row r="23" spans="2:6" ht="15" customHeight="1" x14ac:dyDescent="0.45">
      <c r="B23" s="4" t="s">
        <v>212</v>
      </c>
    </row>
  </sheetData>
  <mergeCells count="6">
    <mergeCell ref="B22:F22"/>
    <mergeCell ref="B5:F5"/>
    <mergeCell ref="B6:F6"/>
    <mergeCell ref="B7:F7"/>
    <mergeCell ref="B8:F8"/>
    <mergeCell ref="B9:F9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F22"/>
  <sheetViews>
    <sheetView zoomScaleNormal="100" workbookViewId="0"/>
  </sheetViews>
  <sheetFormatPr defaultColWidth="8.6640625" defaultRowHeight="14.25" x14ac:dyDescent="0.45"/>
  <cols>
    <col min="1" max="1" width="3" customWidth="1"/>
    <col min="2" max="2" width="34" customWidth="1"/>
    <col min="3" max="6" width="15" customWidth="1"/>
  </cols>
  <sheetData>
    <row r="1" spans="2:6" ht="15.75" customHeight="1" x14ac:dyDescent="0.5">
      <c r="B1" s="3" t="s">
        <v>213</v>
      </c>
    </row>
    <row r="2" spans="2:6" ht="15" customHeight="1" x14ac:dyDescent="0.45">
      <c r="B2" s="4" t="s">
        <v>214</v>
      </c>
    </row>
    <row r="4" spans="2:6" ht="15" customHeight="1" x14ac:dyDescent="0.45">
      <c r="B4" s="5" t="s">
        <v>215</v>
      </c>
      <c r="C4" s="25" t="s">
        <v>216</v>
      </c>
      <c r="D4" s="25" t="s">
        <v>217</v>
      </c>
      <c r="E4" s="25" t="s">
        <v>218</v>
      </c>
    </row>
    <row r="5" spans="2:6" ht="15" customHeight="1" x14ac:dyDescent="0.45">
      <c r="B5" s="7" t="s">
        <v>219</v>
      </c>
      <c r="C5" s="64">
        <f>DCF!C21</f>
        <v>34.688251942855942</v>
      </c>
      <c r="D5" s="65">
        <v>0.5</v>
      </c>
      <c r="E5" s="57">
        <f>C5*D5</f>
        <v>17.344125971427971</v>
      </c>
    </row>
    <row r="6" spans="2:6" ht="15" customHeight="1" x14ac:dyDescent="0.45">
      <c r="B6" s="7" t="s">
        <v>220</v>
      </c>
      <c r="C6" s="64">
        <f>'Relative Val'!E24</f>
        <v>55.820798253533567</v>
      </c>
      <c r="D6" s="65">
        <v>0.5</v>
      </c>
      <c r="E6" s="57">
        <f>C6*D6</f>
        <v>27.910399126766784</v>
      </c>
    </row>
    <row r="7" spans="2:6" ht="15" customHeight="1" x14ac:dyDescent="0.45">
      <c r="B7" s="7" t="s">
        <v>221</v>
      </c>
      <c r="C7" s="64">
        <f>Takeover!D15</f>
        <v>51.300000000000004</v>
      </c>
      <c r="D7" s="65">
        <v>0</v>
      </c>
      <c r="E7" s="57">
        <f>C7*D7</f>
        <v>0</v>
      </c>
    </row>
    <row r="8" spans="2:6" ht="15" customHeight="1" x14ac:dyDescent="0.45">
      <c r="B8" s="7" t="s">
        <v>222</v>
      </c>
      <c r="D8" s="66">
        <f>SUM(D5:D7)</f>
        <v>1</v>
      </c>
    </row>
    <row r="9" spans="2:6" ht="15" customHeight="1" x14ac:dyDescent="0.45">
      <c r="B9" s="19" t="s">
        <v>223</v>
      </c>
      <c r="E9" s="67">
        <f>SUM(E5:E7)</f>
        <v>45.254525098194755</v>
      </c>
    </row>
    <row r="10" spans="2:6" x14ac:dyDescent="0.45">
      <c r="B10" s="19" t="s">
        <v>224</v>
      </c>
      <c r="C10" s="68">
        <f>ROUND(E9,0)</f>
        <v>45</v>
      </c>
    </row>
    <row r="11" spans="2:6" ht="15" customHeight="1" x14ac:dyDescent="0.45">
      <c r="B11" s="7" t="s">
        <v>152</v>
      </c>
      <c r="C11" s="57">
        <f>Assumptions!C9</f>
        <v>44</v>
      </c>
    </row>
    <row r="12" spans="2:6" ht="15" customHeight="1" x14ac:dyDescent="0.45">
      <c r="B12" s="19" t="s">
        <v>225</v>
      </c>
      <c r="C12" s="66">
        <f>E9/Assumptions!C9-1</f>
        <v>2.8511934049880727E-2</v>
      </c>
    </row>
    <row r="14" spans="2:6" ht="15" customHeight="1" x14ac:dyDescent="0.45">
      <c r="B14" s="5" t="s">
        <v>226</v>
      </c>
      <c r="C14" s="6"/>
      <c r="D14" s="6"/>
      <c r="E14" s="6"/>
      <c r="F14" s="6"/>
    </row>
    <row r="15" spans="2:6" ht="15" customHeight="1" x14ac:dyDescent="0.45">
      <c r="C15" s="59" t="s">
        <v>227</v>
      </c>
      <c r="D15" s="59" t="s">
        <v>228</v>
      </c>
      <c r="E15" s="59" t="s">
        <v>229</v>
      </c>
      <c r="F15" s="59" t="s">
        <v>230</v>
      </c>
    </row>
    <row r="16" spans="2:6" ht="15" customHeight="1" x14ac:dyDescent="0.45">
      <c r="B16" s="7" t="s">
        <v>231</v>
      </c>
      <c r="C16" s="69">
        <v>0.6</v>
      </c>
      <c r="D16" s="69">
        <v>0.4</v>
      </c>
      <c r="E16" s="69">
        <v>0</v>
      </c>
      <c r="F16" s="63">
        <f>C16*$C$5+D16*$C$6+E16*$C$7</f>
        <v>43.141270467126994</v>
      </c>
    </row>
    <row r="17" spans="2:6" ht="15" customHeight="1" x14ac:dyDescent="0.45">
      <c r="B17" s="19" t="s">
        <v>232</v>
      </c>
      <c r="C17" s="69">
        <v>0.5</v>
      </c>
      <c r="D17" s="69">
        <v>0.5</v>
      </c>
      <c r="E17" s="69">
        <v>0</v>
      </c>
      <c r="F17" s="63">
        <f>C17*$C$5+D17*$C$6+E17*$C$7</f>
        <v>45.254525098194755</v>
      </c>
    </row>
    <row r="18" spans="2:6" ht="15" customHeight="1" x14ac:dyDescent="0.45">
      <c r="B18" s="7" t="s">
        <v>233</v>
      </c>
      <c r="C18" s="69">
        <v>0.4</v>
      </c>
      <c r="D18" s="69">
        <v>0.6</v>
      </c>
      <c r="E18" s="69">
        <v>0</v>
      </c>
      <c r="F18" s="63">
        <f>C18*$C$5+D18*$C$6+E18*$C$7</f>
        <v>47.367779729262516</v>
      </c>
    </row>
    <row r="19" spans="2:6" ht="15" customHeight="1" x14ac:dyDescent="0.45">
      <c r="B19" s="7"/>
      <c r="C19" s="69"/>
      <c r="D19" s="69"/>
      <c r="E19" s="69"/>
      <c r="F19" s="63"/>
    </row>
    <row r="21" spans="2:6" ht="15" customHeight="1" x14ac:dyDescent="0.45">
      <c r="B21" s="4" t="s">
        <v>234</v>
      </c>
    </row>
    <row r="22" spans="2:6" ht="15" customHeight="1" x14ac:dyDescent="0.45">
      <c r="B22" s="4" t="s">
        <v>235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Assumptions</vt:lpstr>
      <vt:lpstr>Model</vt:lpstr>
      <vt:lpstr>DCF</vt:lpstr>
      <vt:lpstr>Relative Val</vt:lpstr>
      <vt:lpstr>Takeover</vt:lpstr>
      <vt:lpstr>Synthesis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baxi09@student.ubc.ca</cp:lastModifiedBy>
  <cp:revision>0</cp:revision>
  <dcterms:created xsi:type="dcterms:W3CDTF">2026-07-24T05:56:18Z</dcterms:created>
  <dcterms:modified xsi:type="dcterms:W3CDTF">2026-07-24T21:01:43Z</dcterms:modified>
  <dc:language>en-US</dc:language>
</cp:coreProperties>
</file>